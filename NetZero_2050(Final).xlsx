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oyaf\OneDrive\Desktop\Data Analyst Bootcamp\Excel selfproject\Net Zero_2070\"/>
    </mc:Choice>
  </mc:AlternateContent>
  <xr:revisionPtr revIDLastSave="0" documentId="13_ncr:1_{7F3C84AE-B7E9-4EEF-A0AE-2BC34B50759B}" xr6:coauthVersionLast="47" xr6:coauthVersionMax="47" xr10:uidLastSave="{00000000-0000-0000-0000-000000000000}"/>
  <bookViews>
    <workbookView xWindow="-110" yWindow="-110" windowWidth="19420" windowHeight="10300" tabRatio="766" xr2:uid="{6FB5731B-99CE-44DD-9FDB-DF0B6FC849BA}"/>
  </bookViews>
  <sheets>
    <sheet name="C02 Pathways" sheetId="2" r:id="rId1"/>
    <sheet name="Energy transition analysis" sheetId="3" r:id="rId2"/>
    <sheet name="Electricity Genr Transformation" sheetId="4" r:id="rId3"/>
    <sheet name="Energy Eff &amp; Demand" sheetId="5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4" i="2"/>
  <c r="F7" i="2"/>
  <c r="D14" i="4"/>
  <c r="H12" i="5"/>
  <c r="G12" i="5"/>
  <c r="H11" i="5"/>
  <c r="G11" i="5"/>
  <c r="H10" i="5"/>
  <c r="G10" i="5"/>
  <c r="H9" i="5"/>
  <c r="G9" i="5"/>
  <c r="H8" i="5"/>
  <c r="G8" i="5"/>
  <c r="E17" i="4"/>
  <c r="D17" i="4"/>
  <c r="C17" i="4"/>
  <c r="E16" i="4"/>
  <c r="D16" i="4"/>
  <c r="C16" i="4"/>
  <c r="E15" i="4"/>
  <c r="D15" i="4"/>
  <c r="C15" i="4"/>
  <c r="E14" i="4"/>
  <c r="C14" i="4"/>
  <c r="J9" i="4"/>
  <c r="J8" i="4"/>
  <c r="J7" i="4"/>
  <c r="J6" i="4"/>
  <c r="J5" i="4"/>
  <c r="D23" i="3"/>
  <c r="E22" i="3"/>
  <c r="D22" i="3"/>
  <c r="E17" i="3"/>
  <c r="D17" i="3"/>
  <c r="C17" i="3"/>
  <c r="E16" i="3"/>
  <c r="D16" i="3"/>
  <c r="C16" i="3"/>
  <c r="E15" i="3"/>
  <c r="D15" i="3"/>
  <c r="C15" i="3"/>
  <c r="E14" i="3"/>
  <c r="D14" i="3"/>
  <c r="C14" i="3"/>
  <c r="K8" i="3"/>
  <c r="K7" i="3"/>
  <c r="K6" i="3"/>
  <c r="K5" i="3"/>
  <c r="K4" i="3"/>
  <c r="E8" i="2"/>
  <c r="E7" i="2"/>
  <c r="F6" i="2"/>
  <c r="E6" i="2"/>
  <c r="F5" i="2"/>
  <c r="E5" i="2"/>
  <c r="E4" i="2"/>
</calcChain>
</file>

<file path=xl/sharedStrings.xml><?xml version="1.0" encoding="utf-8"?>
<sst xmlns="http://schemas.openxmlformats.org/spreadsheetml/2006/main" count="61" uniqueCount="50">
  <si>
    <t>Population (million)</t>
  </si>
  <si>
    <t>Year</t>
  </si>
  <si>
    <t>CO₂ per capita (t CO₂/person)</t>
  </si>
  <si>
    <t>CO₂ Emission  (Mt)</t>
  </si>
  <si>
    <t>CAGR (Compound Annual Growth Rate) for CO₂ decline</t>
  </si>
  <si>
    <t xml:space="preserve"> </t>
  </si>
  <si>
    <r>
      <t xml:space="preserve">Total CO₂ drops from </t>
    </r>
    <r>
      <rPr>
        <b/>
        <sz val="11"/>
        <color theme="1"/>
        <rFont val="Aptos Narrow"/>
        <family val="2"/>
        <scheme val="minor"/>
      </rPr>
      <t>~36 Gt in 2019 → 0 by 2050</t>
    </r>
    <r>
      <rPr>
        <sz val="11"/>
        <color theme="1"/>
        <rFont val="Aptos Narrow"/>
        <family val="2"/>
        <scheme val="minor"/>
      </rPr>
      <t>.</t>
    </r>
  </si>
  <si>
    <r>
      <t xml:space="preserve">Despite population growth (+2 billion), </t>
    </r>
    <r>
      <rPr>
        <b/>
        <sz val="11"/>
        <color theme="1"/>
        <rFont val="Aptos Narrow"/>
        <family val="2"/>
        <scheme val="minor"/>
      </rPr>
      <t>per capita CO₂ falls to 0</t>
    </r>
    <r>
      <rPr>
        <sz val="11"/>
        <color theme="1"/>
        <rFont val="Aptos Narrow"/>
        <family val="2"/>
        <scheme val="minor"/>
      </rPr>
      <t>.</t>
    </r>
  </si>
  <si>
    <r>
      <t xml:space="preserve">CAGR decline shows </t>
    </r>
    <r>
      <rPr>
        <b/>
        <sz val="11"/>
        <color theme="1"/>
        <rFont val="Aptos Narrow"/>
        <family val="2"/>
        <scheme val="minor"/>
      </rPr>
      <t>rapid decarbonization pace</t>
    </r>
    <r>
      <rPr>
        <sz val="11"/>
        <color theme="1"/>
        <rFont val="Aptos Narrow"/>
        <family val="2"/>
        <scheme val="minor"/>
      </rPr>
      <t xml:space="preserve"> needed.</t>
    </r>
  </si>
  <si>
    <t xml:space="preserve">insights from the data </t>
  </si>
  <si>
    <t>Years</t>
  </si>
  <si>
    <t>Renewables</t>
  </si>
  <si>
    <t>Nuclear</t>
  </si>
  <si>
    <t>Oil</t>
  </si>
  <si>
    <t>Others</t>
  </si>
  <si>
    <t>Coal</t>
  </si>
  <si>
    <t>Sources</t>
  </si>
  <si>
    <t>Natural Gas</t>
  </si>
  <si>
    <t xml:space="preserve">Renewables </t>
  </si>
  <si>
    <t>Total energy(EJ)</t>
  </si>
  <si>
    <t>Solar(EJ)</t>
  </si>
  <si>
    <t>Wind(EJ)</t>
  </si>
  <si>
    <t>Hydro(EJ)</t>
  </si>
  <si>
    <t>Nuclear(EJ)</t>
  </si>
  <si>
    <t xml:space="preserve"> Natural Gas(EJ)</t>
  </si>
  <si>
    <t>Oil(EJ)</t>
  </si>
  <si>
    <t>Coal(EJ)</t>
  </si>
  <si>
    <t>Others(EJ)</t>
  </si>
  <si>
    <t>ENERGY SUPPLY</t>
  </si>
  <si>
    <t xml:space="preserve">Natural Gas </t>
  </si>
  <si>
    <t>Share % (2050)</t>
  </si>
  <si>
    <t>Share % 2020</t>
  </si>
  <si>
    <t>CAGR % (2020-2050)</t>
  </si>
  <si>
    <t>KPI CARDS</t>
  </si>
  <si>
    <t>Hydrogen-based</t>
  </si>
  <si>
    <t>Fossil fuels with CCUS</t>
  </si>
  <si>
    <t>Nautural gas</t>
  </si>
  <si>
    <t xml:space="preserve">Total Generation </t>
  </si>
  <si>
    <t>Electricity Generarion (TWh)</t>
  </si>
  <si>
    <t>Share % (2020)</t>
  </si>
  <si>
    <t>Share %(2050)</t>
  </si>
  <si>
    <t>CAGR %(2020-2050)</t>
  </si>
  <si>
    <t>Total Final Consumption (EJ)</t>
  </si>
  <si>
    <t>GDP (trillion USD)</t>
  </si>
  <si>
    <t>Energy per Capita (GJ/person)</t>
  </si>
  <si>
    <t>Energy per GDP (GJ/trillion USD)</t>
  </si>
  <si>
    <t xml:space="preserve">KPI CARDS </t>
  </si>
  <si>
    <t>Row Labels</t>
  </si>
  <si>
    <t>Sum of Total Final Consumption (EJ)</t>
  </si>
  <si>
    <t>Sum of GDP (trillion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</si>
</sst>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%"/>
    <numFmt numFmtId="165" formatCode="0\ \ \ ;\-0\ \ \ ;\-\ \ \ "/>
    <numFmt numFmtId="166" formatCode="0.0%"/>
    <numFmt numFmtId="167" formatCode="0.00000000000000%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Abadi"/>
      <family val="2"/>
    </font>
    <font>
      <sz val="11"/>
      <color rgb="FF000000"/>
      <name val="Aptos Narrow"/>
      <family val="2"/>
      <scheme val="minor"/>
    </font>
    <font>
      <b/>
      <sz val="20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24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+mn-e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10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0" fontId="13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/>
    </xf>
    <xf numFmtId="10" fontId="14" fillId="0" borderId="0" xfId="1" applyNumberFormat="1" applyFont="1" applyAlignment="1">
      <alignment horizontal="center" vertical="center"/>
    </xf>
    <xf numFmtId="10" fontId="0" fillId="0" borderId="0" xfId="1" applyNumberFormat="1" applyFont="1"/>
    <xf numFmtId="10" fontId="0" fillId="0" borderId="0" xfId="1" applyNumberFormat="1" applyFont="1" applyAlignment="1">
      <alignment horizontal="center" vertical="center"/>
    </xf>
    <xf numFmtId="0" fontId="18" fillId="0" borderId="0" xfId="0" applyFont="1" applyAlignment="1">
      <alignment horizontal="left" vertical="center" readingOrder="1"/>
    </xf>
    <xf numFmtId="167" fontId="0" fillId="0" borderId="0" xfId="0" applyNumberFormat="1"/>
    <xf numFmtId="2" fontId="0" fillId="0" borderId="0" xfId="1" applyNumberFormat="1" applyFont="1"/>
    <xf numFmtId="0" fontId="16" fillId="3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5" borderId="0" xfId="0" applyFont="1" applyFill="1"/>
    <xf numFmtId="164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7" fillId="0" borderId="0" xfId="0" applyFon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14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</cellXfs>
  <cellStyles count="3">
    <cellStyle name="Normal" xfId="0" builtinId="0"/>
    <cellStyle name="Normal 2" xfId="2" xr:uid="{D345F12C-2EFD-456B-A101-06E3D376B33E}"/>
    <cellStyle name="Percent" xfId="1" builtinId="5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\ \ \ ;\-0\ \ \ ;\-\ \ 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\ \ \ ;\-0\ \ \ ;\-\ \ 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\ \ \ ;\-0\ \ \ ;\-\ \ 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\ \ \ ;\-0\ \ \ ;\-\ \ 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\ \ \ ;\-0\ \ \ ;\-\ \ \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00%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21533B27-88A3-45DF-8BB0-33E1B1375363}"/>
  </tableStyles>
  <colors>
    <mruColors>
      <color rgb="FF909EE6"/>
      <color rgb="FF4859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Emission(Mt) vs Population (Million)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'C02 Pathways'!$E$3</c:f>
              <c:strCache>
                <c:ptCount val="1"/>
                <c:pt idx="0">
                  <c:v>CO₂ per capita (t CO₂/person)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'C02 Pathways'!$D$4:$D$9</c:f>
              <c:numCache>
                <c:formatCode>General</c:formatCode>
                <c:ptCount val="6"/>
                <c:pt idx="0">
                  <c:v>7672</c:v>
                </c:pt>
                <c:pt idx="1">
                  <c:v>7753</c:v>
                </c:pt>
                <c:pt idx="2">
                  <c:v>8505</c:v>
                </c:pt>
                <c:pt idx="3">
                  <c:v>9155</c:v>
                </c:pt>
                <c:pt idx="4">
                  <c:v>9692</c:v>
                </c:pt>
              </c:numCache>
            </c:numRef>
          </c:xVal>
          <c:yVal>
            <c:numRef>
              <c:f>'C02 Pathways'!$E$4:$E$9</c:f>
              <c:numCache>
                <c:formatCode>0.00</c:formatCode>
                <c:ptCount val="6"/>
                <c:pt idx="0">
                  <c:v>4682.7424400417103</c:v>
                </c:pt>
                <c:pt idx="1">
                  <c:v>4372.8879143557333</c:v>
                </c:pt>
                <c:pt idx="2">
                  <c:v>2486.4197530864194</c:v>
                </c:pt>
                <c:pt idx="3">
                  <c:v>689.89623156744949</c:v>
                </c:pt>
                <c:pt idx="4">
                  <c:v>5.8811390837804369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47-4FE9-AE99-76D63E04E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213160"/>
        <c:axId val="1133213880"/>
      </c:scatterChart>
      <c:valAx>
        <c:axId val="1133213160"/>
        <c:scaling>
          <c:orientation val="minMax"/>
          <c:min val="7500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Population (Million)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13880"/>
        <c:crosses val="autoZero"/>
        <c:crossBetween val="midCat"/>
      </c:valAx>
      <c:valAx>
        <c:axId val="113321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Co2 Emission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213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vs CAGR for CO₂ decline</a:t>
            </a:r>
          </a:p>
        </c:rich>
      </c:tx>
      <c:layout>
        <c:manualLayout>
          <c:xMode val="edge"/>
          <c:yMode val="edge"/>
          <c:x val="0.2599423106901444"/>
          <c:y val="3.19306591077086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'C02 Pathways'!$F$3</c:f>
              <c:strCache>
                <c:ptCount val="1"/>
                <c:pt idx="0">
                  <c:v>CAGR (Compound Annual Growth Rate) for CO₂ decline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'C02 Pathways'!$B$4:$B$9</c:f>
              <c:numCache>
                <c:formatCode>General</c:formatCode>
                <c:ptCount val="6"/>
                <c:pt idx="0">
                  <c:v>2019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xVal>
          <c:yVal>
            <c:numRef>
              <c:f>'C02 Pathways'!$F$4:$F$9</c:f>
              <c:numCache>
                <c:formatCode>0.000%</c:formatCode>
                <c:ptCount val="6"/>
                <c:pt idx="0">
                  <c:v>-0.14793096574143563</c:v>
                </c:pt>
                <c:pt idx="1">
                  <c:v>-5.6310193174859413E-2</c:v>
                </c:pt>
                <c:pt idx="2">
                  <c:v>-4.6103921119658886E-2</c:v>
                </c:pt>
                <c:pt idx="3" formatCode="0.00%">
                  <c:v>-0.1138253230600984</c:v>
                </c:pt>
                <c:pt idx="4" formatCode="0.00%">
                  <c:v>-0.37548442561112583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1E-4019-ACA0-459FB1022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4460832"/>
        <c:axId val="1144453632"/>
      </c:scatterChart>
      <c:valAx>
        <c:axId val="114446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53632"/>
        <c:crossesAt val="0"/>
        <c:crossBetween val="midCat"/>
      </c:valAx>
      <c:valAx>
        <c:axId val="114445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CARG for Co2 Decline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46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</a:t>
            </a:r>
            <a:r>
              <a:rPr lang="en-IN" baseline="0"/>
              <a:t> % (2020 vs 2050)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'Energy transition analysis'!$C$13</c:f>
              <c:strCache>
                <c:ptCount val="1"/>
                <c:pt idx="0">
                  <c:v>Share %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'Energy transition analysis'!$B$14:$B$17</c:f>
              <c:strCache>
                <c:ptCount val="4"/>
                <c:pt idx="0">
                  <c:v>Oil</c:v>
                </c:pt>
                <c:pt idx="1">
                  <c:v>Natural Gas </c:v>
                </c:pt>
                <c:pt idx="2">
                  <c:v>Coal</c:v>
                </c:pt>
                <c:pt idx="3">
                  <c:v>Renewables </c:v>
                </c:pt>
              </c:strCache>
            </c:strRef>
          </c:cat>
          <c:val>
            <c:numRef>
              <c:f>'Energy transition analysis'!$C$14:$C$17</c:f>
              <c:numCache>
                <c:formatCode>0.00%</c:formatCode>
                <c:ptCount val="4"/>
                <c:pt idx="0">
                  <c:v>0.32457786116322701</c:v>
                </c:pt>
                <c:pt idx="1">
                  <c:v>0.25515947467166977</c:v>
                </c:pt>
                <c:pt idx="2">
                  <c:v>0.23076923076923078</c:v>
                </c:pt>
                <c:pt idx="3">
                  <c:v>0.1050656660412758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3-4BE7-B01F-12B621B6411C}"/>
            </c:ext>
          </c:extLst>
        </c:ser>
        <c:ser>
          <c:idx val="1"/>
          <c:order val="1"/>
          <c:tx>
            <c:strRef>
              <c:f>'Energy transition analysis'!$D$13</c:f>
              <c:strCache>
                <c:ptCount val="1"/>
                <c:pt idx="0">
                  <c:v>Share % (2050)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'Energy transition analysis'!$B$14:$B$17</c:f>
              <c:strCache>
                <c:ptCount val="4"/>
                <c:pt idx="0">
                  <c:v>Oil</c:v>
                </c:pt>
                <c:pt idx="1">
                  <c:v>Natural Gas </c:v>
                </c:pt>
                <c:pt idx="2">
                  <c:v>Coal</c:v>
                </c:pt>
                <c:pt idx="3">
                  <c:v>Renewables </c:v>
                </c:pt>
              </c:strCache>
            </c:strRef>
          </c:cat>
          <c:val>
            <c:numRef>
              <c:f>'Energy transition analysis'!$D$14:$D$17</c:f>
              <c:numCache>
                <c:formatCode>0.00%</c:formatCode>
                <c:ptCount val="4"/>
                <c:pt idx="0">
                  <c:v>8.0152671755725186E-2</c:v>
                </c:pt>
                <c:pt idx="1">
                  <c:v>0.1851145038167939</c:v>
                </c:pt>
                <c:pt idx="2">
                  <c:v>0.13931297709923665</c:v>
                </c:pt>
                <c:pt idx="3">
                  <c:v>0.55152671755725191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53-4BE7-B01F-12B621B64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728248"/>
        <c:axId val="978736168"/>
      </c:barChart>
      <c:catAx>
        <c:axId val="97872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Sources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736168"/>
        <c:crosses val="autoZero"/>
        <c:auto val="1"/>
        <c:lblAlgn val="ctr"/>
        <c:lblOffset val="100"/>
        <c:noMultiLvlLbl val="0"/>
      </c:catAx>
      <c:valAx>
        <c:axId val="97873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Share</a:t>
                </a:r>
                <a:r>
                  <a:rPr lang="en-IN" baseline="0"/>
                  <a:t> %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72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Elecrtricity Generation Vs Year </a:t>
            </a:r>
          </a:p>
        </c:rich>
      </c:tx>
      <c:layout>
        <c:manualLayout>
          <c:xMode val="edge"/>
          <c:yMode val="edge"/>
          <c:x val="0.2255277777777777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'Electricity Genr Transformation'!$K$4</c:f>
              <c:strCache>
                <c:ptCount val="1"/>
                <c:pt idx="0">
                  <c:v>Total Generation 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'Electricity Genr Transformation'!$B$5:$B$9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xVal>
          <c:yVal>
            <c:numRef>
              <c:f>'Electricity Genr Transformation'!$K$5:$K$9</c:f>
              <c:numCache>
                <c:formatCode>General</c:formatCode>
                <c:ptCount val="5"/>
                <c:pt idx="0">
                  <c:v>26922</c:v>
                </c:pt>
                <c:pt idx="1">
                  <c:v>26778</c:v>
                </c:pt>
                <c:pt idx="2">
                  <c:v>37316</c:v>
                </c:pt>
                <c:pt idx="3">
                  <c:v>56553</c:v>
                </c:pt>
                <c:pt idx="4">
                  <c:v>71164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4-4C3B-B6D4-D682EBDDE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071184"/>
        <c:axId val="587254968"/>
      </c:scatterChart>
      <c:valAx>
        <c:axId val="10770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54968"/>
        <c:crosses val="autoZero"/>
        <c:crossBetween val="midCat"/>
      </c:valAx>
      <c:valAx>
        <c:axId val="58725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Genaration (TWh)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07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  <c:perspective val="5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2805060901370126E-2"/>
          <c:y val="0.19414079395595943"/>
          <c:w val="0.76656450633008899"/>
          <c:h val="0.61822685383641085"/>
        </c:manualLayout>
      </c:layout>
      <c:pie3DChart>
        <c:varyColors val="1"/>
        <c:ser>
          <c:idx val="0"/>
          <c:order val="0"/>
          <c:tx>
            <c:strRef>
              <c:f>'Electricity Genr Transformation'!$C$13</c:f>
              <c:strCache>
                <c:ptCount val="1"/>
                <c:pt idx="0">
                  <c:v>Share % (2020)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EAA-4A83-8EBC-E41844A2D42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AA-4A83-8EBC-E41844A2D42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EAA-4A83-8EBC-E41844A2D42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EAA-4A83-8EBC-E41844A2D4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'Electricity Genr Transformation'!$B$14:$B$17</c:f>
              <c:strCache>
                <c:ptCount val="4"/>
                <c:pt idx="0">
                  <c:v>Oil</c:v>
                </c:pt>
                <c:pt idx="1">
                  <c:v>Natural Gas</c:v>
                </c:pt>
                <c:pt idx="2">
                  <c:v>Coal</c:v>
                </c:pt>
                <c:pt idx="3">
                  <c:v>Renewables</c:v>
                </c:pt>
              </c:strCache>
            </c:strRef>
          </c:cat>
          <c:val>
            <c:numRef>
              <c:f>'Electricity Genr Transformation'!$C$14:$C$17</c:f>
              <c:numCache>
                <c:formatCode>0.00%</c:formatCode>
                <c:ptCount val="4"/>
                <c:pt idx="0">
                  <c:v>2.8232130853685863E-2</c:v>
                </c:pt>
                <c:pt idx="1">
                  <c:v>0.23153334827096869</c:v>
                </c:pt>
                <c:pt idx="2">
                  <c:v>0.35200537754873401</c:v>
                </c:pt>
                <c:pt idx="3">
                  <c:v>0.28605571737993873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A-4A83-8EBC-E41844A2D42D}"/>
            </c:ext>
          </c:extLst>
        </c:ser>
        <c:ser>
          <c:idx val="1"/>
          <c:order val="1"/>
          <c:tx>
            <c:strRef>
              <c:f>'Electricity Genr Transformation'!$D$13</c:f>
              <c:strCache>
                <c:ptCount val="1"/>
                <c:pt idx="0">
                  <c:v>Share %(2050)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EAA-4A83-8EBC-E41844A2D42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EAA-4A83-8EBC-E41844A2D42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CEAA-4A83-8EBC-E41844A2D42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50800">
                <a:solidFill>
                  <a:schemeClr val="lt1"/>
                </a:solidFill>
              </a:ln>
              <a:effectLst/>
              <a:sp3d contourW="508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EAA-4A83-8EBC-E41844A2D4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'Electricity Genr Transformation'!$B$14:$B$17</c:f>
              <c:strCache>
                <c:ptCount val="4"/>
                <c:pt idx="0">
                  <c:v>Oil</c:v>
                </c:pt>
                <c:pt idx="1">
                  <c:v>Natural Gas</c:v>
                </c:pt>
                <c:pt idx="2">
                  <c:v>Coal</c:v>
                </c:pt>
                <c:pt idx="3">
                  <c:v>Renewables</c:v>
                </c:pt>
              </c:strCache>
            </c:strRef>
          </c:cat>
          <c:val>
            <c:numRef>
              <c:f>'Electricity Genr Transformation'!$D$14:$D$17</c:f>
              <c:numCache>
                <c:formatCode>0.00%</c:formatCode>
                <c:ptCount val="4"/>
                <c:pt idx="0" formatCode="0.000%">
                  <c:v>8.4312292732280366E-5</c:v>
                </c:pt>
                <c:pt idx="1">
                  <c:v>3.5551683435444889E-3</c:v>
                </c:pt>
                <c:pt idx="2">
                  <c:v>1.6862458546456073E-4</c:v>
                </c:pt>
                <c:pt idx="3">
                  <c:v>0.87590635714687204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A-4A83-8EBC-E41844A2D42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Share of</a:t>
            </a:r>
            <a:r>
              <a:rPr lang="en-IN" baseline="0"/>
              <a:t> Energy Sources</a:t>
            </a:r>
            <a:r>
              <a:rPr lang="en-IN"/>
              <a:t> (2020 vs 2050)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'Electricity Genr Transformation'!$C$13</c:f>
              <c:strCache>
                <c:ptCount val="1"/>
                <c:pt idx="0">
                  <c:v>Share % (2020)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F0-47F9-B4C3-3D6415A59E2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F0-47F9-B4C3-3D6415A59E2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F0-47F9-B4C3-3D6415A59E2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FF0-47F9-B4C3-3D6415A59E2E}"/>
              </c:ext>
            </c:extLst>
          </c:dPt>
          <c:cat>
            <c:strRef>
              <c:f>'Electricity Genr Transformation'!$B$14:$B$17</c:f>
              <c:strCache>
                <c:ptCount val="4"/>
                <c:pt idx="0">
                  <c:v>Oil</c:v>
                </c:pt>
                <c:pt idx="1">
                  <c:v>Natural Gas</c:v>
                </c:pt>
                <c:pt idx="2">
                  <c:v>Coal</c:v>
                </c:pt>
                <c:pt idx="3">
                  <c:v>Renewables</c:v>
                </c:pt>
              </c:strCache>
            </c:strRef>
          </c:cat>
          <c:val>
            <c:numRef>
              <c:f>'Electricity Genr Transformation'!$C$14:$C$17</c:f>
              <c:numCache>
                <c:formatCode>0.00%</c:formatCode>
                <c:ptCount val="4"/>
                <c:pt idx="0">
                  <c:v>2.8232130853685863E-2</c:v>
                </c:pt>
                <c:pt idx="1">
                  <c:v>0.23153334827096869</c:v>
                </c:pt>
                <c:pt idx="2">
                  <c:v>0.35200537754873401</c:v>
                </c:pt>
                <c:pt idx="3">
                  <c:v>0.28605571737993873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7-4685-8A55-9B5BFF4A1A28}"/>
            </c:ext>
          </c:extLst>
        </c:ser>
        <c:ser>
          <c:idx val="1"/>
          <c:order val="1"/>
          <c:tx>
            <c:strRef>
              <c:f>'Electricity Genr Transformation'!$D$13</c:f>
              <c:strCache>
                <c:ptCount val="1"/>
                <c:pt idx="0">
                  <c:v>Share %(2050)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FF0-47F9-B4C3-3D6415A59E2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FF0-47F9-B4C3-3D6415A59E2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FF0-47F9-B4C3-3D6415A59E2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FF0-47F9-B4C3-3D6415A59E2E}"/>
              </c:ext>
            </c:extLst>
          </c:dPt>
          <c:cat>
            <c:strRef>
              <c:f>'Electricity Genr Transformation'!$B$14:$B$17</c:f>
              <c:strCache>
                <c:ptCount val="4"/>
                <c:pt idx="0">
                  <c:v>Oil</c:v>
                </c:pt>
                <c:pt idx="1">
                  <c:v>Natural Gas</c:v>
                </c:pt>
                <c:pt idx="2">
                  <c:v>Coal</c:v>
                </c:pt>
                <c:pt idx="3">
                  <c:v>Renewables</c:v>
                </c:pt>
              </c:strCache>
            </c:strRef>
          </c:cat>
          <c:val>
            <c:numRef>
              <c:f>'Electricity Genr Transformation'!$D$14:$D$17</c:f>
              <c:numCache>
                <c:formatCode>0.00%</c:formatCode>
                <c:ptCount val="4"/>
                <c:pt idx="0" formatCode="0.000%">
                  <c:v>8.4312292732280366E-5</c:v>
                </c:pt>
                <c:pt idx="1">
                  <c:v>3.5551683435444889E-3</c:v>
                </c:pt>
                <c:pt idx="2">
                  <c:v>1.6862458546456073E-4</c:v>
                </c:pt>
                <c:pt idx="3">
                  <c:v>0.87590635714687204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7-4685-8A55-9B5BFF4A1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Capita (GJ/person)  vs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'Energy Eff &amp; Demand'!$G$7</c:f>
              <c:strCache>
                <c:ptCount val="1"/>
                <c:pt idx="0">
                  <c:v>Energy per Capita (GJ/person)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'Energy Eff &amp; Demand'!$C$8:$C$12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xVal>
          <c:yVal>
            <c:numRef>
              <c:f>'Energy Eff &amp; Demand'!$G$8:$G$12</c:f>
              <c:numCache>
                <c:formatCode>0.00</c:formatCode>
                <c:ptCount val="5"/>
                <c:pt idx="0">
                  <c:v>56.699687174139726</c:v>
                </c:pt>
                <c:pt idx="1">
                  <c:v>53.140719721398163</c:v>
                </c:pt>
                <c:pt idx="2">
                  <c:v>46.325690770135218</c:v>
                </c:pt>
                <c:pt idx="3">
                  <c:v>39.650464227198249</c:v>
                </c:pt>
                <c:pt idx="4">
                  <c:v>35.493190260008255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B-4926-BCB8-2D80A632F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085568"/>
        <c:axId val="1083085928"/>
      </c:scatterChart>
      <c:valAx>
        <c:axId val="108308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85928"/>
        <c:crosses val="autoZero"/>
        <c:crossBetween val="midCat"/>
      </c:valAx>
      <c:valAx>
        <c:axId val="1083085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08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GDP (GJ/trillion USD)</a:t>
            </a:r>
            <a:r>
              <a:rPr lang="en-US" baseline="0"/>
              <a:t> VS Year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'Energy Eff &amp; Demand'!$H$7</c:f>
              <c:strCache>
                <c:ptCount val="1"/>
                <c:pt idx="0">
                  <c:v>Energy per GDP (GJ/trillion USD)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'Energy Eff &amp; Demand'!$C$8:$C$12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xVal>
          <c:yVal>
            <c:numRef>
              <c:f>'Energy Eff &amp; Demand'!$H$8:$H$12</c:f>
              <c:numCache>
                <c:formatCode>0.00</c:formatCode>
                <c:ptCount val="5"/>
                <c:pt idx="0">
                  <c:v>3.2291589340063842</c:v>
                </c:pt>
                <c:pt idx="1">
                  <c:v>3.2118245034145128</c:v>
                </c:pt>
                <c:pt idx="2">
                  <c:v>2.140873846020094</c:v>
                </c:pt>
                <c:pt idx="3">
                  <c:v>1.4698736637512149</c:v>
                </c:pt>
                <c:pt idx="4">
                  <c:v>1.087193555217739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1E-4044-8A75-C0D0DE506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927560"/>
        <c:axId val="1085921800"/>
      </c:scatterChart>
      <c:valAx>
        <c:axId val="1085927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21800"/>
        <c:crosses val="autoZero"/>
        <c:crossBetween val="midCat"/>
      </c:valAx>
      <c:valAx>
        <c:axId val="108592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27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800611</xdr:colOff>
      <xdr:row>13</xdr:row>
      <xdr:rowOff>133769</xdr:rowOff>
    </xdr:from>
    <xdr:to>
      <xdr:col>4</xdr:col>
      <xdr:colOff>1948629</xdr:colOff>
      <xdr:row>15</xdr:row>
      <xdr:rowOff>49758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5B069570-18C7-A667-CA75-A4AD156DD2F4}"/>
            </a:ext>
          </a:extLst>
        </xdr:cNvPr>
        <xdr:cNvSpPr txBox="1">
          <a:spLocks noChangeArrowheads="1"/>
        </xdr:cNvSpPr>
      </xdr:nvSpPr>
      <xdr:spPr bwMode="auto">
        <a:xfrm>
          <a:off x="4998667" y="2629672"/>
          <a:ext cx="1148018" cy="339322"/>
        </a:xfrm>
        <a:prstGeom prst="rect">
          <a:avLst/>
        </a:prstGeom>
        <a:solidFill>
          <a:srgbClr val="909EE6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ctr" upright="1"/>
        <a:lstStyle/>
        <a:p>
          <a:pPr algn="ctr" rtl="0">
            <a:defRPr sz="1000"/>
          </a:pPr>
          <a:r>
            <a:rPr lang="en-IN" sz="1400" b="1" i="0" u="none" strike="noStrike" baseline="0">
              <a:solidFill>
                <a:srgbClr val="000000"/>
              </a:solidFill>
              <a:latin typeface="Aptos Narrow"/>
            </a:rPr>
            <a:t>KPI CARDS</a:t>
          </a:r>
        </a:p>
      </xdr:txBody>
    </xdr:sp>
    <xdr:clientData/>
  </xdr:twoCellAnchor>
  <xdr:twoCellAnchor>
    <xdr:from>
      <xdr:col>3</xdr:col>
      <xdr:colOff>175037</xdr:colOff>
      <xdr:row>17</xdr:row>
      <xdr:rowOff>113399</xdr:rowOff>
    </xdr:from>
    <xdr:to>
      <xdr:col>5</xdr:col>
      <xdr:colOff>1400708</xdr:colOff>
      <xdr:row>27</xdr:row>
      <xdr:rowOff>75494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B53009D-86CF-AE6D-1BC4-F1F92A293142}"/>
            </a:ext>
          </a:extLst>
        </xdr:cNvPr>
        <xdr:cNvGrpSpPr/>
      </xdr:nvGrpSpPr>
      <xdr:grpSpPr>
        <a:xfrm>
          <a:off x="2838509" y="3535343"/>
          <a:ext cx="5035671" cy="1814179"/>
          <a:chOff x="2838509" y="3535343"/>
          <a:chExt cx="5035671" cy="1814179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BB0124B-3B48-54A0-9951-2187228BA683}"/>
              </a:ext>
            </a:extLst>
          </xdr:cNvPr>
          <xdr:cNvSpPr/>
        </xdr:nvSpPr>
        <xdr:spPr>
          <a:xfrm>
            <a:off x="2844639" y="3535343"/>
            <a:ext cx="2339539" cy="728961"/>
          </a:xfrm>
          <a:prstGeom prst="rect">
            <a:avLst/>
          </a:prstGeom>
          <a:gradFill>
            <a:gsLst>
              <a:gs pos="0">
                <a:srgbClr val="C4E5F6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tx2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IN" sz="2000" b="1">
                <a:ln>
                  <a:solidFill>
                    <a:schemeClr val="accent1">
                      <a:shade val="15000"/>
                    </a:schemeClr>
                  </a:solidFill>
                </a:ln>
                <a:pattFill prst="narVert">
                  <a:fgClr>
                    <a:schemeClr val="lt1"/>
                  </a:fgClr>
                  <a:bgClr>
                    <a:schemeClr val="bg1"/>
                  </a:bgClr>
                </a:pattFill>
                <a:latin typeface="Arial" panose="020B0604020202020204" pitchFamily="34" charset="0"/>
                <a:cs typeface="Arial" panose="020B0604020202020204" pitchFamily="34" charset="0"/>
              </a:rPr>
              <a:t>33903</a:t>
            </a:r>
            <a:r>
              <a:rPr lang="en-IN" sz="2000" b="1" baseline="0">
                <a:ln>
                  <a:solidFill>
                    <a:schemeClr val="accent1">
                      <a:shade val="15000"/>
                    </a:schemeClr>
                  </a:solidFill>
                </a:ln>
                <a:pattFill prst="narVert">
                  <a:fgClr>
                    <a:schemeClr val="lt1"/>
                  </a:fgClr>
                  <a:bgClr>
                    <a:schemeClr val="bg1"/>
                  </a:bgClr>
                </a:pattFill>
                <a:latin typeface="Arial" panose="020B0604020202020204" pitchFamily="34" charset="0"/>
                <a:cs typeface="Arial" panose="020B0604020202020204" pitchFamily="34" charset="0"/>
              </a:rPr>
              <a:t> Mt</a:t>
            </a:r>
            <a:endParaRPr lang="en-IN" sz="2000" b="1">
              <a:ln>
                <a:solidFill>
                  <a:schemeClr val="accent1">
                    <a:shade val="15000"/>
                  </a:schemeClr>
                </a:solidFill>
              </a:ln>
              <a:pattFill prst="narVert">
                <a:fgClr>
                  <a:schemeClr val="lt1"/>
                </a:fgClr>
                <a:bgClr>
                  <a:schemeClr val="bg1"/>
                </a:bgClr>
              </a:patt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4A682BF-C422-46E1-8426-577983DE64A9}"/>
              </a:ext>
            </a:extLst>
          </xdr:cNvPr>
          <xdr:cNvSpPr/>
        </xdr:nvSpPr>
        <xdr:spPr>
          <a:xfrm>
            <a:off x="5542821" y="3537206"/>
            <a:ext cx="2331359" cy="725622"/>
          </a:xfrm>
          <a:prstGeom prst="rect">
            <a:avLst/>
          </a:prstGeom>
          <a:gradFill>
            <a:gsLst>
              <a:gs pos="0">
                <a:srgbClr val="C4E5F6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tx2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IN" sz="2000" b="1">
                <a:ln>
                  <a:solidFill>
                    <a:schemeClr val="accent1">
                      <a:shade val="15000"/>
                    </a:schemeClr>
                  </a:solidFill>
                </a:ln>
                <a:pattFill prst="narVert">
                  <a:fgClr>
                    <a:schemeClr val="lt1"/>
                  </a:fgClr>
                  <a:bgClr>
                    <a:schemeClr val="bg1"/>
                  </a:bgClr>
                </a:pattFill>
                <a:latin typeface="Arial" panose="020B0604020202020204" pitchFamily="34" charset="0"/>
                <a:cs typeface="Arial" panose="020B0604020202020204" pitchFamily="34" charset="0"/>
              </a:rPr>
              <a:t>689 (t/Person)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37EFBB5-E934-4F08-81C9-8D3D50536D85}"/>
              </a:ext>
            </a:extLst>
          </xdr:cNvPr>
          <xdr:cNvSpPr/>
        </xdr:nvSpPr>
        <xdr:spPr>
          <a:xfrm>
            <a:off x="2838509" y="4622103"/>
            <a:ext cx="2339539" cy="725624"/>
          </a:xfrm>
          <a:prstGeom prst="rect">
            <a:avLst/>
          </a:prstGeom>
          <a:gradFill>
            <a:gsLst>
              <a:gs pos="0">
                <a:srgbClr val="C4E5F6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tx2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IN" sz="2000" b="1">
                <a:ln>
                  <a:solidFill>
                    <a:schemeClr val="accent1">
                      <a:shade val="15000"/>
                    </a:schemeClr>
                  </a:solidFill>
                </a:ln>
                <a:pattFill prst="narVert">
                  <a:fgClr>
                    <a:schemeClr val="lt1"/>
                  </a:fgClr>
                  <a:bgClr>
                    <a:schemeClr val="bg1"/>
                  </a:bgClr>
                </a:patt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11.38 %</a:t>
            </a:r>
            <a:r>
              <a:rPr lang="en-IN" sz="3600" b="1">
                <a:effectLst/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endParaRPr lang="en-IN" sz="3600" b="1">
              <a:ln>
                <a:solidFill>
                  <a:schemeClr val="accent1">
                    <a:shade val="15000"/>
                  </a:schemeClr>
                </a:solidFill>
              </a:ln>
              <a:pattFill prst="narVert">
                <a:fgClr>
                  <a:schemeClr val="lt1"/>
                </a:fgClr>
                <a:bgClr>
                  <a:schemeClr val="bg1"/>
                </a:bgClr>
              </a:patt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A7567E4-83BD-CD40-9975-A740B92342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987621" y="3641361"/>
            <a:ext cx="1913140" cy="293174"/>
          </a:xfrm>
          <a:prstGeom prst="rect">
            <a:avLst/>
          </a:prstGeom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8E2BA5EE-BC17-9E02-5003-CF1E18806273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" r="55747" b="10334"/>
          <a:stretch>
            <a:fillRect/>
          </a:stretch>
        </xdr:blipFill>
        <xdr:spPr bwMode="auto">
          <a:xfrm>
            <a:off x="5831383" y="3673026"/>
            <a:ext cx="1806256" cy="2163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Picture 30">
            <a:extLst>
              <a:ext uri="{FF2B5EF4-FFF2-40B4-BE49-F238E27FC236}">
                <a16:creationId xmlns:a16="http://schemas.microsoft.com/office/drawing/2014/main" id="{3D1FDD3F-0CCB-4799-009D-0643D9F053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06642" y="4715124"/>
            <a:ext cx="1849449" cy="300330"/>
          </a:xfrm>
          <a:prstGeom prst="rect">
            <a:avLst/>
          </a:prstGeom>
        </xdr:spPr>
      </xdr:pic>
      <xdr:sp macro="" textlink="">
        <xdr:nvSpPr>
          <xdr:cNvPr id="2055" name="Rectangle 2054">
            <a:extLst>
              <a:ext uri="{FF2B5EF4-FFF2-40B4-BE49-F238E27FC236}">
                <a16:creationId xmlns:a16="http://schemas.microsoft.com/office/drawing/2014/main" id="{DA1CD22D-671C-41C4-A64C-9876A8B88881}"/>
              </a:ext>
            </a:extLst>
          </xdr:cNvPr>
          <xdr:cNvSpPr/>
        </xdr:nvSpPr>
        <xdr:spPr>
          <a:xfrm>
            <a:off x="5529584" y="4628008"/>
            <a:ext cx="2331359" cy="721514"/>
          </a:xfrm>
          <a:prstGeom prst="rect">
            <a:avLst/>
          </a:prstGeom>
          <a:gradFill>
            <a:gsLst>
              <a:gs pos="0">
                <a:srgbClr val="C4E5F6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solidFill>
              <a:schemeClr val="tx2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IN" sz="2000" b="1">
                <a:ln>
                  <a:solidFill>
                    <a:schemeClr val="accent1">
                      <a:shade val="15000"/>
                    </a:schemeClr>
                  </a:solidFill>
                </a:ln>
                <a:pattFill prst="narVert">
                  <a:fgClr>
                    <a:schemeClr val="lt1"/>
                  </a:fgClr>
                  <a:bgClr>
                    <a:schemeClr val="bg1"/>
                  </a:bgClr>
                </a:pattFill>
                <a:latin typeface="Arial" panose="020B0604020202020204" pitchFamily="34" charset="0"/>
                <a:cs typeface="Arial" panose="020B0604020202020204" pitchFamily="34" charset="0"/>
              </a:rPr>
              <a:t>7.208 %</a:t>
            </a:r>
          </a:p>
        </xdr:txBody>
      </xdr:sp>
      <xdr:pic>
        <xdr:nvPicPr>
          <xdr:cNvPr id="2052" name="Picture 2051">
            <a:extLst>
              <a:ext uri="{FF2B5EF4-FFF2-40B4-BE49-F238E27FC236}">
                <a16:creationId xmlns:a16="http://schemas.microsoft.com/office/drawing/2014/main" id="{163922CA-9A35-ACBE-75D9-FF87922474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5642447" y="4670997"/>
            <a:ext cx="2157588" cy="334646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92631</xdr:colOff>
      <xdr:row>21</xdr:row>
      <xdr:rowOff>61427</xdr:rowOff>
    </xdr:from>
    <xdr:to>
      <xdr:col>10</xdr:col>
      <xdr:colOff>548368</xdr:colOff>
      <xdr:row>33</xdr:row>
      <xdr:rowOff>82247</xdr:rowOff>
    </xdr:to>
    <xdr:graphicFrame macro="">
      <xdr:nvGraphicFramePr>
        <xdr:cNvPr id="2064" name="Chart 2063">
          <a:extLst>
            <a:ext uri="{FF2B5EF4-FFF2-40B4-BE49-F238E27FC236}">
              <a16:creationId xmlns:a16="http://schemas.microsoft.com/office/drawing/2014/main" id="{E01A4764-7CE5-1F4A-3B90-AE120C705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194094</xdr:colOff>
      <xdr:row>4</xdr:row>
      <xdr:rowOff>102080</xdr:rowOff>
    </xdr:from>
    <xdr:to>
      <xdr:col>10</xdr:col>
      <xdr:colOff>563451</xdr:colOff>
      <xdr:row>18</xdr:row>
      <xdr:rowOff>65657</xdr:rowOff>
    </xdr:to>
    <xdr:graphicFrame macro="">
      <xdr:nvGraphicFramePr>
        <xdr:cNvPr id="2068" name="Chart 2067">
          <a:extLst>
            <a:ext uri="{FF2B5EF4-FFF2-40B4-BE49-F238E27FC236}">
              <a16:creationId xmlns:a16="http://schemas.microsoft.com/office/drawing/2014/main" id="{AB9DE4CA-0DB9-38DB-4553-C796906C7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610577</xdr:colOff>
      <xdr:row>20</xdr:row>
      <xdr:rowOff>155510</xdr:rowOff>
    </xdr:from>
    <xdr:to>
      <xdr:col>10</xdr:col>
      <xdr:colOff>699795</xdr:colOff>
      <xdr:row>49</xdr:row>
      <xdr:rowOff>91586</xdr:rowOff>
    </xdr:to>
    <xdr:grpSp>
      <xdr:nvGrpSpPr>
        <xdr:cNvPr id="2062" name="Group 2061">
          <a:extLst>
            <a:ext uri="{FF2B5EF4-FFF2-40B4-BE49-F238E27FC236}">
              <a16:creationId xmlns:a16="http://schemas.microsoft.com/office/drawing/2014/main" id="{51139E67-150F-4658-EE52-1048BF2137DC}"/>
            </a:ext>
          </a:extLst>
        </xdr:cNvPr>
        <xdr:cNvGrpSpPr/>
      </xdr:nvGrpSpPr>
      <xdr:grpSpPr>
        <a:xfrm>
          <a:off x="1219834" y="3776726"/>
          <a:ext cx="8901988" cy="5179117"/>
          <a:chOff x="586154" y="2921733"/>
          <a:chExt cx="10104315" cy="6028348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4456508-2233-AA9B-534A-E970D36800A8}"/>
              </a:ext>
            </a:extLst>
          </xdr:cNvPr>
          <xdr:cNvGraphicFramePr/>
        </xdr:nvGraphicFramePr>
        <xdr:xfrm>
          <a:off x="6158279" y="2921733"/>
          <a:ext cx="4532190" cy="26174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996B1CFC-3C58-C14F-1D02-2E948567FBDE}"/>
              </a:ext>
            </a:extLst>
          </xdr:cNvPr>
          <xdr:cNvSpPr/>
        </xdr:nvSpPr>
        <xdr:spPr>
          <a:xfrm>
            <a:off x="619125" y="6420828"/>
            <a:ext cx="2482604" cy="998904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4329672B-A27D-437B-945F-AC5A0B706458}"/>
              </a:ext>
            </a:extLst>
          </xdr:cNvPr>
          <xdr:cNvSpPr/>
        </xdr:nvSpPr>
        <xdr:spPr>
          <a:xfrm>
            <a:off x="3510818" y="7899155"/>
            <a:ext cx="2638912" cy="966666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25D86956-66DA-48F8-A034-551B44E4874D}"/>
              </a:ext>
            </a:extLst>
          </xdr:cNvPr>
          <xdr:cNvSpPr/>
        </xdr:nvSpPr>
        <xdr:spPr>
          <a:xfrm>
            <a:off x="586154" y="7900865"/>
            <a:ext cx="2478941" cy="1049216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56DC776F-29CA-419A-8F09-B1954BA5E69D}"/>
              </a:ext>
            </a:extLst>
          </xdr:cNvPr>
          <xdr:cNvSpPr/>
        </xdr:nvSpPr>
        <xdr:spPr>
          <a:xfrm>
            <a:off x="3520100" y="6439145"/>
            <a:ext cx="2617420" cy="1020396"/>
          </a:xfrm>
          <a:prstGeom prst="roundRect">
            <a:avLst/>
          </a:prstGeom>
        </xdr:spPr>
        <xdr:style>
          <a:lnRef idx="1">
            <a:schemeClr val="accent5"/>
          </a:lnRef>
          <a:fillRef idx="2">
            <a:schemeClr val="accent5"/>
          </a:fillRef>
          <a:effectRef idx="1">
            <a:schemeClr val="accent5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065" name="Text Box 17">
            <a:extLst>
              <a:ext uri="{FF2B5EF4-FFF2-40B4-BE49-F238E27FC236}">
                <a16:creationId xmlns:a16="http://schemas.microsoft.com/office/drawing/2014/main" id="{37474377-DBA6-1ADC-F259-1839D6743E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43813" y="6581531"/>
            <a:ext cx="2153261" cy="25839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📉 Fossil Fuel Decline (2020–2050)</a:t>
            </a:r>
          </a:p>
        </xdr:txBody>
      </xdr:sp>
      <xdr:sp macro="" textlink="">
        <xdr:nvSpPr>
          <xdr:cNvPr id="2069" name="Text Box 21">
            <a:extLst>
              <a:ext uri="{FF2B5EF4-FFF2-40B4-BE49-F238E27FC236}">
                <a16:creationId xmlns:a16="http://schemas.microsoft.com/office/drawing/2014/main" id="{869F86CF-49E8-61AD-EBE6-A42DFF56FFC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71635" y="8090388"/>
            <a:ext cx="2309262" cy="2657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📈 CAGR of Renewables (2020–2050)</a:t>
            </a:r>
          </a:p>
        </xdr:txBody>
      </xdr:sp>
      <xdr:sp macro="" textlink="">
        <xdr:nvSpPr>
          <xdr:cNvPr id="2070" name="Text Box 22">
            <a:extLst>
              <a:ext uri="{FF2B5EF4-FFF2-40B4-BE49-F238E27FC236}">
                <a16:creationId xmlns:a16="http://schemas.microsoft.com/office/drawing/2014/main" id="{8E43ABFA-CF0B-06B7-4E89-A96C8C6E25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77163" y="8141188"/>
            <a:ext cx="1904037" cy="25937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/>
              <a:t>⚡ Clean Energy Ratio (2050)</a:t>
            </a:r>
            <a:endParaRPr lang="en-IN" sz="1100" b="0" i="0" u="none" strike="noStrike" baseline="0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2071" name="Text Box 23">
            <a:extLst>
              <a:ext uri="{FF2B5EF4-FFF2-40B4-BE49-F238E27FC236}">
                <a16:creationId xmlns:a16="http://schemas.microsoft.com/office/drawing/2014/main" id="{10E91BC2-0A2F-68D5-0972-3309E7BE12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1441" y="6582019"/>
            <a:ext cx="1935529" cy="25033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🔋 Total Energy Supply (2020)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D68A3B06-460F-8E67-3856-D3EB5226892C}"/>
              </a:ext>
            </a:extLst>
          </xdr:cNvPr>
          <xdr:cNvSpPr/>
        </xdr:nvSpPr>
        <xdr:spPr>
          <a:xfrm>
            <a:off x="1178412" y="6907656"/>
            <a:ext cx="1495915" cy="46801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24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533</a:t>
            </a:r>
            <a:r>
              <a:rPr lang="en-IN" sz="2400" b="1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 EJ</a:t>
            </a:r>
            <a:endParaRPr lang="en-IN" sz="2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3F8B9595-6139-6CBF-F9AF-17903B7AD598}"/>
              </a:ext>
            </a:extLst>
          </xdr:cNvPr>
          <xdr:cNvSpPr/>
        </xdr:nvSpPr>
        <xdr:spPr>
          <a:xfrm>
            <a:off x="4214321" y="6948365"/>
            <a:ext cx="1160831" cy="366347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IN" sz="24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rPr>
              <a:t>54.86%</a:t>
            </a:r>
            <a:endParaRPr lang="en-IN" sz="2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8E372DF-E808-D9EB-A79A-BF97D777CBF3}"/>
              </a:ext>
            </a:extLst>
          </xdr:cNvPr>
          <xdr:cNvSpPr/>
        </xdr:nvSpPr>
        <xdr:spPr>
          <a:xfrm>
            <a:off x="991577" y="8394212"/>
            <a:ext cx="1517632" cy="446841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IN" sz="2400" b="1" i="0" u="none" strike="noStrike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  <a:latin typeface="+mn-lt"/>
                <a:ea typeface="+mn-ea"/>
                <a:cs typeface="+mn-cs"/>
              </a:rPr>
              <a:t>5.91%</a:t>
            </a:r>
            <a:r>
              <a:rPr lang="en-IN" sz="24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 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2697EAFB-510C-495F-30C9-A42B77646DCE}"/>
              </a:ext>
            </a:extLst>
          </xdr:cNvPr>
          <xdr:cNvSpPr/>
        </xdr:nvSpPr>
        <xdr:spPr>
          <a:xfrm>
            <a:off x="4370083" y="8406912"/>
            <a:ext cx="760400" cy="376991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24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1.23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492125</xdr:colOff>
      <xdr:row>11</xdr:row>
      <xdr:rowOff>60325</xdr:rowOff>
    </xdr:from>
    <xdr:to>
      <xdr:col>13</xdr:col>
      <xdr:colOff>130175</xdr:colOff>
      <xdr:row>26</xdr:row>
      <xdr:rowOff>28575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F8E4637-4CFF-2589-4DD3-422E4859A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31750</xdr:colOff>
      <xdr:row>24</xdr:row>
      <xdr:rowOff>165100</xdr:rowOff>
    </xdr:from>
    <xdr:to>
      <xdr:col>5</xdr:col>
      <xdr:colOff>502906</xdr:colOff>
      <xdr:row>41</xdr:row>
      <xdr:rowOff>101600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A7B3126-7BAA-1EA5-2AAF-110ABE1142D8}"/>
            </a:ext>
          </a:extLst>
        </xdr:cNvPr>
        <xdr:cNvGrpSpPr/>
      </xdr:nvGrpSpPr>
      <xdr:grpSpPr>
        <a:xfrm>
          <a:off x="645930" y="4672559"/>
          <a:ext cx="5540746" cy="3121910"/>
          <a:chOff x="633329" y="4593389"/>
          <a:chExt cx="5517735" cy="3061369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D26E02DD-12D5-2AF9-8080-FF96148ED620}"/>
              </a:ext>
            </a:extLst>
          </xdr:cNvPr>
          <xdr:cNvSpPr/>
        </xdr:nvSpPr>
        <xdr:spPr>
          <a:xfrm>
            <a:off x="633329" y="4593389"/>
            <a:ext cx="2461126" cy="1299411"/>
          </a:xfrm>
          <a:prstGeom prst="roundRect">
            <a:avLst/>
          </a:prstGeom>
          <a:gradFill flip="none" rotWithShape="1">
            <a:gsLst>
              <a:gs pos="0">
                <a:srgbClr val="92D050">
                  <a:shade val="30000"/>
                  <a:satMod val="115000"/>
                </a:srgbClr>
              </a:gs>
              <a:gs pos="50000">
                <a:srgbClr val="92D050">
                  <a:shade val="67500"/>
                  <a:satMod val="115000"/>
                </a:srgbClr>
              </a:gs>
              <a:gs pos="100000">
                <a:srgbClr val="92D050">
                  <a:shade val="100000"/>
                  <a:satMod val="115000"/>
                </a:srgb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E3F3DEA8-EE23-4604-B63D-77AF75E92367}"/>
              </a:ext>
            </a:extLst>
          </xdr:cNvPr>
          <xdr:cNvSpPr/>
        </xdr:nvSpPr>
        <xdr:spPr>
          <a:xfrm>
            <a:off x="3686261" y="6339437"/>
            <a:ext cx="2464803" cy="1299411"/>
          </a:xfrm>
          <a:prstGeom prst="roundRect">
            <a:avLst/>
          </a:prstGeom>
          <a:gradFill flip="none" rotWithShape="1">
            <a:gsLst>
              <a:gs pos="0">
                <a:srgbClr val="92D050">
                  <a:shade val="30000"/>
                  <a:satMod val="115000"/>
                </a:srgbClr>
              </a:gs>
              <a:gs pos="50000">
                <a:srgbClr val="92D050">
                  <a:shade val="67500"/>
                  <a:satMod val="115000"/>
                </a:srgbClr>
              </a:gs>
              <a:gs pos="100000">
                <a:srgbClr val="92D050">
                  <a:shade val="100000"/>
                  <a:satMod val="115000"/>
                </a:srgb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DF1A9D8F-3F97-46A2-A763-AD4DD9BB225A}"/>
              </a:ext>
            </a:extLst>
          </xdr:cNvPr>
          <xdr:cNvSpPr/>
        </xdr:nvSpPr>
        <xdr:spPr>
          <a:xfrm>
            <a:off x="677779" y="6355347"/>
            <a:ext cx="2461126" cy="1299411"/>
          </a:xfrm>
          <a:prstGeom prst="roundRect">
            <a:avLst/>
          </a:prstGeom>
          <a:gradFill flip="none" rotWithShape="1">
            <a:gsLst>
              <a:gs pos="0">
                <a:srgbClr val="92D050">
                  <a:shade val="30000"/>
                  <a:satMod val="115000"/>
                </a:srgbClr>
              </a:gs>
              <a:gs pos="50000">
                <a:srgbClr val="92D050">
                  <a:shade val="67500"/>
                  <a:satMod val="115000"/>
                </a:srgbClr>
              </a:gs>
              <a:gs pos="100000">
                <a:srgbClr val="92D050">
                  <a:shade val="100000"/>
                  <a:satMod val="115000"/>
                </a:srgb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13CEECE5-F022-4418-B026-C0157BF2F609}"/>
              </a:ext>
            </a:extLst>
          </xdr:cNvPr>
          <xdr:cNvSpPr/>
        </xdr:nvSpPr>
        <xdr:spPr>
          <a:xfrm>
            <a:off x="3545305" y="4612105"/>
            <a:ext cx="2464803" cy="1299411"/>
          </a:xfrm>
          <a:prstGeom prst="roundRect">
            <a:avLst/>
          </a:prstGeom>
          <a:gradFill flip="none" rotWithShape="1">
            <a:gsLst>
              <a:gs pos="0">
                <a:srgbClr val="92D050">
                  <a:shade val="30000"/>
                  <a:satMod val="115000"/>
                </a:srgbClr>
              </a:gs>
              <a:gs pos="50000">
                <a:srgbClr val="92D050">
                  <a:shade val="67500"/>
                  <a:satMod val="115000"/>
                </a:srgbClr>
              </a:gs>
              <a:gs pos="100000">
                <a:srgbClr val="92D050">
                  <a:shade val="100000"/>
                  <a:satMod val="115000"/>
                </a:srgbClr>
              </a:gs>
            </a:gsLst>
            <a:path path="circle">
              <a:fillToRect l="100000" b="100000"/>
            </a:path>
            <a:tileRect t="-100000" r="-100000"/>
          </a:gradFill>
          <a:ln>
            <a:noFill/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079" name="Text Box 7">
            <a:extLst>
              <a:ext uri="{FF2B5EF4-FFF2-40B4-BE49-F238E27FC236}">
                <a16:creationId xmlns:a16="http://schemas.microsoft.com/office/drawing/2014/main" id="{56D18D1D-A29B-7350-60A2-02B576DDEA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05655" y="6545513"/>
            <a:ext cx="2255253" cy="26636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000000"/>
                </a:solidFill>
                <a:latin typeface="Aptos Narrow"/>
              </a:rPr>
              <a:t>⚡ Total Generation Growth: (2020 → 2050)</a:t>
            </a:r>
          </a:p>
        </xdr:txBody>
      </xdr:sp>
      <xdr:sp macro="" textlink="">
        <xdr:nvSpPr>
          <xdr:cNvPr id="3080" name="Text Box 8">
            <a:extLst>
              <a:ext uri="{FF2B5EF4-FFF2-40B4-BE49-F238E27FC236}">
                <a16:creationId xmlns:a16="http://schemas.microsoft.com/office/drawing/2014/main" id="{E125DA86-BE36-17BA-DE62-533A7A5385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32705" y="4770855"/>
            <a:ext cx="996950" cy="297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🏭 Coal CAGR</a:t>
            </a:r>
          </a:p>
        </xdr:txBody>
      </xdr:sp>
      <xdr:sp macro="" textlink="">
        <xdr:nvSpPr>
          <xdr:cNvPr id="3081" name="Text Box 9">
            <a:extLst>
              <a:ext uri="{FF2B5EF4-FFF2-40B4-BE49-F238E27FC236}">
                <a16:creationId xmlns:a16="http://schemas.microsoft.com/office/drawing/2014/main" id="{6FD0C088-E806-5AE6-EDB6-695484E8FE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34980" y="4865771"/>
            <a:ext cx="1394921" cy="29048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🌞 Renewables CAGR </a:t>
            </a:r>
          </a:p>
        </xdr:txBody>
      </xdr:sp>
      <xdr:sp macro="" textlink="">
        <xdr:nvSpPr>
          <xdr:cNvPr id="3082" name="Text Box 10">
            <a:extLst>
              <a:ext uri="{FF2B5EF4-FFF2-40B4-BE49-F238E27FC236}">
                <a16:creationId xmlns:a16="http://schemas.microsoft.com/office/drawing/2014/main" id="{B194FA9F-8836-E448-765B-31366E060A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7642" y="6655012"/>
            <a:ext cx="919145" cy="24661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🔋 Oil CAGR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8EDE732-D2FA-07D8-985D-9F14E51D0F82}"/>
              </a:ext>
            </a:extLst>
          </xdr:cNvPr>
          <xdr:cNvSpPr/>
        </xdr:nvSpPr>
        <xdr:spPr>
          <a:xfrm>
            <a:off x="690479" y="5132138"/>
            <a:ext cx="2286000" cy="59323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+3.8</a:t>
            </a:r>
            <a:r>
              <a:rPr lang="en-IN" sz="3200" b="1" cap="none" spc="50" baseline="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%</a:t>
            </a:r>
            <a:endParaRPr lang="en-IN" sz="32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5DAB4F-E32B-E475-4AFD-234D13794039}"/>
              </a:ext>
            </a:extLst>
          </xdr:cNvPr>
          <xdr:cNvSpPr/>
        </xdr:nvSpPr>
        <xdr:spPr>
          <a:xfrm>
            <a:off x="836530" y="6976645"/>
            <a:ext cx="2101850" cy="530658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US" sz="28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-17.76%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FAEDFF9E-9620-C211-7109-332B52658896}"/>
              </a:ext>
            </a:extLst>
          </xdr:cNvPr>
          <xdr:cNvSpPr/>
        </xdr:nvSpPr>
        <xdr:spPr>
          <a:xfrm>
            <a:off x="4084161" y="6822124"/>
            <a:ext cx="1531244" cy="59323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US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+166%</a:t>
            </a:r>
          </a:p>
        </xdr:txBody>
      </xdr:sp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93E67534-63F7-3758-579E-05BFD7431055}"/>
              </a:ext>
            </a:extLst>
          </xdr:cNvPr>
          <xdr:cNvSpPr/>
        </xdr:nvSpPr>
        <xdr:spPr>
          <a:xfrm>
            <a:off x="4091990" y="5117315"/>
            <a:ext cx="1605376" cy="59323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-17.76%</a:t>
            </a:r>
          </a:p>
        </xdr:txBody>
      </xdr:sp>
    </xdr:grpSp>
    <xdr:clientData/>
  </xdr:twoCellAnchor>
  <xdr:twoCellAnchor>
    <xdr:from>
      <xdr:col>7</xdr:col>
      <xdr:colOff>442406</xdr:colOff>
      <xdr:row>27</xdr:row>
      <xdr:rowOff>163566</xdr:rowOff>
    </xdr:from>
    <xdr:to>
      <xdr:col>13</xdr:col>
      <xdr:colOff>83736</xdr:colOff>
      <xdr:row>43</xdr:row>
      <xdr:rowOff>41868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9CFB986-7808-0D3E-B5AF-D453AA432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593859</xdr:colOff>
      <xdr:row>10</xdr:row>
      <xdr:rowOff>117519</xdr:rowOff>
    </xdr:from>
    <xdr:to>
      <xdr:col>20</xdr:col>
      <xdr:colOff>94802</xdr:colOff>
      <xdr:row>25</xdr:row>
      <xdr:rowOff>34522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D7A1EDC-5BB4-4CA6-EDC0-CB47F906E1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257970</xdr:colOff>
      <xdr:row>31</xdr:row>
      <xdr:rowOff>19580</xdr:rowOff>
    </xdr:from>
    <xdr:to>
      <xdr:col>7</xdr:col>
      <xdr:colOff>253958</xdr:colOff>
      <xdr:row>48</xdr:row>
      <xdr:rowOff>177801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6F880EC-E84F-4FB0-2D76-86E4F58BC93B}"/>
            </a:ext>
          </a:extLst>
        </xdr:cNvPr>
        <xdr:cNvGrpSpPr/>
      </xdr:nvGrpSpPr>
      <xdr:grpSpPr>
        <a:xfrm>
          <a:off x="2110053" y="5487636"/>
          <a:ext cx="6293072" cy="3156832"/>
          <a:chOff x="2091083" y="5590806"/>
          <a:chExt cx="6286083" cy="3213410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A3A3E9E6-786D-482F-EB59-86AD9B76078B}"/>
              </a:ext>
            </a:extLst>
          </xdr:cNvPr>
          <xdr:cNvSpPr/>
        </xdr:nvSpPr>
        <xdr:spPr>
          <a:xfrm>
            <a:off x="2091083" y="5590806"/>
            <a:ext cx="3004069" cy="1400894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870EF893-1E08-4E46-9451-495112C1B548}"/>
              </a:ext>
            </a:extLst>
          </xdr:cNvPr>
          <xdr:cNvSpPr/>
        </xdr:nvSpPr>
        <xdr:spPr>
          <a:xfrm>
            <a:off x="5374359" y="7374595"/>
            <a:ext cx="2970607" cy="1403010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A41948F-0964-4771-90F5-45C302492E81}"/>
              </a:ext>
            </a:extLst>
          </xdr:cNvPr>
          <xdr:cNvSpPr/>
        </xdr:nvSpPr>
        <xdr:spPr>
          <a:xfrm>
            <a:off x="2095580" y="7402264"/>
            <a:ext cx="2936336" cy="1401952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F0C3CD37-723A-45F0-97B5-77988FEC502C}"/>
              </a:ext>
            </a:extLst>
          </xdr:cNvPr>
          <xdr:cNvSpPr/>
        </xdr:nvSpPr>
        <xdr:spPr>
          <a:xfrm>
            <a:off x="5402060" y="5648411"/>
            <a:ext cx="2975106" cy="1396612"/>
          </a:xfrm>
          <a:prstGeom prst="roundRect">
            <a:avLst/>
          </a:prstGeom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099" name="Text Box 3">
            <a:extLst>
              <a:ext uri="{FF2B5EF4-FFF2-40B4-BE49-F238E27FC236}">
                <a16:creationId xmlns:a16="http://schemas.microsoft.com/office/drawing/2014/main" id="{818A9D5D-6ED1-DCEF-1559-B38BAC657C6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5480" y="5854776"/>
            <a:ext cx="1851225" cy="29236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📈 GDP Growth (2020→2050)</a:t>
            </a:r>
          </a:p>
        </xdr:txBody>
      </xdr:sp>
      <xdr:sp macro="" textlink="">
        <xdr:nvSpPr>
          <xdr:cNvPr id="4102" name="Text Box 6">
            <a:extLst>
              <a:ext uri="{FF2B5EF4-FFF2-40B4-BE49-F238E27FC236}">
                <a16:creationId xmlns:a16="http://schemas.microsoft.com/office/drawing/2014/main" id="{B4E2CAF7-2FB0-AFD6-0032-C50387C2ED9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36310" y="5897713"/>
            <a:ext cx="2179067" cy="2965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👥 Population Growth (2020-2025)</a:t>
            </a:r>
          </a:p>
        </xdr:txBody>
      </xdr:sp>
      <xdr:sp macro="" textlink="">
        <xdr:nvSpPr>
          <xdr:cNvPr id="4103" name="Text Box 7">
            <a:extLst>
              <a:ext uri="{FF2B5EF4-FFF2-40B4-BE49-F238E27FC236}">
                <a16:creationId xmlns:a16="http://schemas.microsoft.com/office/drawing/2014/main" id="{40E93448-5E9D-82E6-DE98-655C2ECA08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395352" y="7667176"/>
            <a:ext cx="2357164" cy="29328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⚡ Energy Per Capita Drop( 2020-2025)</a:t>
            </a:r>
          </a:p>
        </xdr:txBody>
      </xdr:sp>
      <xdr:sp macro="" textlink="">
        <xdr:nvSpPr>
          <xdr:cNvPr id="4104" name="Text Box 8">
            <a:extLst>
              <a:ext uri="{FF2B5EF4-FFF2-40B4-BE49-F238E27FC236}">
                <a16:creationId xmlns:a16="http://schemas.microsoft.com/office/drawing/2014/main" id="{01B1E076-BC32-3CFA-DDE5-1463337E701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32163" y="7607643"/>
            <a:ext cx="2686894" cy="29990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6576" rIns="0" bIns="0" anchor="t" upright="1"/>
          <a:lstStyle/>
          <a:p>
            <a:pPr algn="l" rtl="0">
              <a:defRPr sz="1000"/>
            </a:pPr>
            <a:r>
              <a:rPr lang="en-IN" sz="1100" b="0" i="0" u="none" strike="noStrike" baseline="0">
                <a:solidFill>
                  <a:srgbClr val="000000"/>
                </a:solidFill>
                <a:latin typeface="Aptos Narrow"/>
              </a:rPr>
              <a:t>🌿 Energy Intensity (GJ/trillion USD) Improved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630A0E13-EEAA-0FF6-A254-21A8E4C82071}"/>
              </a:ext>
            </a:extLst>
          </xdr:cNvPr>
          <xdr:cNvSpPr/>
        </xdr:nvSpPr>
        <xdr:spPr>
          <a:xfrm>
            <a:off x="2237590" y="6137624"/>
            <a:ext cx="2717605" cy="593239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US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+146.6%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9DACEBC-7A32-8607-5861-FDB0710CBF4E}"/>
              </a:ext>
            </a:extLst>
          </xdr:cNvPr>
          <xdr:cNvSpPr/>
        </xdr:nvSpPr>
        <xdr:spPr>
          <a:xfrm>
            <a:off x="5949729" y="6170698"/>
            <a:ext cx="1473352" cy="59323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+25.1%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F6A3D84-E246-AF7F-68A7-03C772D11248}"/>
              </a:ext>
            </a:extLst>
          </xdr:cNvPr>
          <xdr:cNvSpPr/>
        </xdr:nvSpPr>
        <xdr:spPr>
          <a:xfrm>
            <a:off x="2926879" y="7939203"/>
            <a:ext cx="1390957" cy="59323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IN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-33.2%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3CFDACD-E672-4641-7955-C5481A17D832}"/>
              </a:ext>
            </a:extLst>
          </xdr:cNvPr>
          <xdr:cNvSpPr/>
        </xdr:nvSpPr>
        <xdr:spPr>
          <a:xfrm>
            <a:off x="6215825" y="7948022"/>
            <a:ext cx="1390957" cy="593239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3200" b="1" cap="none" spc="50">
                <a:ln w="0"/>
                <a:solidFill>
                  <a:schemeClr val="bg2"/>
                </a:solidFill>
                <a:effectLst>
                  <a:innerShdw blurRad="63500" dist="50800" dir="13500000">
                    <a:srgbClr val="000000">
                      <a:alpha val="50000"/>
                    </a:srgbClr>
                  </a:innerShdw>
                </a:effectLst>
              </a:rPr>
              <a:t>-66.0%</a:t>
            </a:r>
          </a:p>
        </xdr:txBody>
      </xdr:sp>
    </xdr:grpSp>
    <xdr:clientData/>
  </xdr:twoCellAnchor>
  <xdr:twoCellAnchor>
    <xdr:from>
      <xdr:col>13</xdr:col>
      <xdr:colOff>21980</xdr:colOff>
      <xdr:row>5</xdr:row>
      <xdr:rowOff>142631</xdr:rowOff>
    </xdr:from>
    <xdr:to>
      <xdr:col>21</xdr:col>
      <xdr:colOff>525095</xdr:colOff>
      <xdr:row>19</xdr:row>
      <xdr:rowOff>97693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9356BEA-C703-B437-EC6D-5A05F8AAA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46403</xdr:colOff>
      <xdr:row>22</xdr:row>
      <xdr:rowOff>57149</xdr:rowOff>
    </xdr:from>
    <xdr:to>
      <xdr:col>21</xdr:col>
      <xdr:colOff>488461</xdr:colOff>
      <xdr:row>37</xdr:row>
      <xdr:rowOff>146538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63D4D9-61CF-2784-9446-46FE706C3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ya Fatma" refreshedDate="45932.901726157404" createdVersion="8" refreshedVersion="8" minRefreshableVersion="3" recordCount="5" xr:uid="{C129DF00-2805-4E6E-A2E2-1BD38AE30A36}">
  <cacheSource type="worksheet">
    <worksheetSource name="Table15"/>
  </cacheSource>
  <cacheFields count="6">
    <cacheField name="Year" numFmtId="0">
      <sharedItems containsSemiMixedTypes="0" containsString="0" containsNumber="1" containsInteger="1" minValue="2019" maxValue="2050" count="5">
        <n v="2019"/>
        <n v="2020"/>
        <n v="2030"/>
        <n v="2040"/>
        <n v="2050"/>
      </sharedItems>
    </cacheField>
    <cacheField name="Total Final Consumption (EJ)" numFmtId="0">
      <sharedItems containsSemiMixedTypes="0" containsString="0" containsNumber="1" containsInteger="1" minValue="344" maxValue="435" count="5">
        <n v="435"/>
        <n v="412"/>
        <n v="394"/>
        <n v="363"/>
        <n v="344"/>
      </sharedItems>
    </cacheField>
    <cacheField name="Population (million)" numFmtId="0">
      <sharedItems containsSemiMixedTypes="0" containsString="0" containsNumber="1" containsInteger="1" minValue="7672" maxValue="9692"/>
    </cacheField>
    <cacheField name="GDP (trillion USD)" numFmtId="0">
      <sharedItems containsSemiMixedTypes="0" containsString="0" containsNumber="1" containsInteger="1" minValue="128276" maxValue="316411"/>
    </cacheField>
    <cacheField name="Energy per Capita (GJ/person)" numFmtId="2">
      <sharedItems containsSemiMixedTypes="0" containsString="0" containsNumber="1" minValue="35.493190260008255" maxValue="56.699687174139726"/>
    </cacheField>
    <cacheField name="Energy per GDP (GJ/trillion USD)" numFmtId="2">
      <sharedItems containsSemiMixedTypes="0" containsString="0" containsNumber="1" minValue="1.087193555217739" maxValue="3.22915893400638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7672"/>
    <n v="134710"/>
    <n v="56.699687174139726"/>
    <n v="3.2291589340063842"/>
  </r>
  <r>
    <x v="1"/>
    <x v="1"/>
    <n v="7753"/>
    <n v="128276"/>
    <n v="53.140719721398163"/>
    <n v="3.2118245034145128"/>
  </r>
  <r>
    <x v="2"/>
    <x v="2"/>
    <n v="8505"/>
    <n v="184037"/>
    <n v="46.325690770135218"/>
    <n v="2.140873846020094"/>
  </r>
  <r>
    <x v="3"/>
    <x v="3"/>
    <n v="9155"/>
    <n v="246960"/>
    <n v="39.650464227198249"/>
    <n v="1.4698736637512149"/>
  </r>
  <r>
    <x v="4"/>
    <x v="4"/>
    <n v="9692"/>
    <n v="316411"/>
    <n v="35.493190260008255"/>
    <n v="1.0871935552177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A5E57-4925-4EE8-BEDA-96A96DE8DE59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20:H22" firstHeaderRow="0" firstDataRow="1" firstDataCol="1"/>
  <pivotFields count="6">
    <pivotField axis="axisRow" showAll="0" defaultSubtotal="0">
      <items count="5">
        <item h="1" x="0"/>
        <item x="1"/>
        <item h="1" x="2"/>
        <item h="1" x="3"/>
        <item x="4"/>
      </items>
    </pivotField>
    <pivotField dataField="1" showAll="0" defaultSubtotal="0">
      <items count="5">
        <item x="4"/>
        <item x="3"/>
        <item x="2"/>
        <item x="1"/>
        <item x="0"/>
      </items>
    </pivotField>
    <pivotField showAll="0" defaultSubtotal="0"/>
    <pivotField dataField="1" showAll="0" defaultSubtotal="0"/>
    <pivotField showAll="0" defaultSubtotal="0"/>
    <pivotField showAll="0" defaultSubtotal="0"/>
  </pivotFields>
  <rowFields count="1">
    <field x="0"/>
  </rowFields>
  <rowItems count="2">
    <i>
      <x v="1"/>
    </i>
    <i>
      <x v="4"/>
    </i>
  </rowItems>
  <colFields count="1">
    <field x="-2"/>
  </colFields>
  <colItems count="2">
    <i>
      <x/>
    </i>
    <i i="1">
      <x v="1"/>
    </i>
  </colItems>
  <dataFields count="2">
    <dataField name="Sum of GDP (trillion USD)" fld="3" baseField="0" baseItem="0"/>
    <dataField name="Sum of Total Final Consumption (EJ)" fld="1" baseField="0" baseItem="0"/>
  </dataFields>
  <pivotTableStyleInfo name="PivotStyleDark1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29AE27-278E-4F4C-A139-9EC204EB001E}" name="Table4" displayName="Table4" ref="B3:F10" totalsRowCount="1" headerRowDxfId="66" dataDxfId="65">
  <autoFilter ref="B3:F9" xr:uid="{1229AE27-278E-4F4C-A139-9EC204EB001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38E8F69-2020-45A4-8E87-7C10113DDF51}" name="Year" dataDxfId="64" totalsRowDxfId="4"/>
    <tableColumn id="2" xr3:uid="{2A973541-C065-43D2-932B-20298509E9C6}" name="CO₂ Emission  (Mt)" dataDxfId="63" totalsRowDxfId="3"/>
    <tableColumn id="3" xr3:uid="{4FDC315D-CD5B-424A-A049-260DFC7B89A1}" name="Population (million)" dataDxfId="62" totalsRowDxfId="2"/>
    <tableColumn id="4" xr3:uid="{620907C5-4574-4788-8B98-FA66DC562466}" name="CO₂ per capita (t CO₂/person)" dataDxfId="61" totalsRowDxfId="1">
      <calculatedColumnFormula>(C4/D4)*1000</calculatedColumnFormula>
    </tableColumn>
    <tableColumn id="5" xr3:uid="{3F67E74C-AA0D-42FB-82C2-5F397AF803A7}" name="CAGR (Compound Annual Growth Rate) for CO₂ decline" dataDxfId="60" totalsRowDxfId="0" dataCellStyle="Perc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5A9D32-A5B0-44C7-9331-00293DD3CCCB}" name="Table2" displayName="Table2" ref="B3:K8" totalsRowShown="0" headerRowDxfId="59" dataDxfId="58">
  <autoFilter ref="B3:K8" xr:uid="{025A9D32-A5B0-44C7-9331-00293DD3CC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99B38F0-46D8-407C-B010-CD9322771BC1}" name="Years" dataDxfId="57"/>
    <tableColumn id="2" xr3:uid="{90D46CC1-6F5A-4802-9AF7-A64DF09EC0C0}" name="Solar(EJ)" dataDxfId="56"/>
    <tableColumn id="3" xr3:uid="{E7E51151-0E16-4AE5-AC64-DCAE6B9029D9}" name="Wind(EJ)" dataDxfId="55"/>
    <tableColumn id="4" xr3:uid="{AEC65FFC-2F9B-47F4-A1AD-436D8153B6EF}" name="Hydro(EJ)" dataDxfId="54"/>
    <tableColumn id="5" xr3:uid="{B92F963C-2205-481D-AD75-117055463CE3}" name="Nuclear(EJ)" dataDxfId="53"/>
    <tableColumn id="6" xr3:uid="{DF833EF8-C3AF-422D-95E6-AA12936F9962}" name=" Natural Gas(EJ)" dataDxfId="52"/>
    <tableColumn id="7" xr3:uid="{ECFA6E18-C376-4969-85F4-82A949FD8D7A}" name="Oil(EJ)" dataDxfId="51"/>
    <tableColumn id="8" xr3:uid="{F973A4C3-A381-49EC-BB48-7A716B043D75}" name="Coal(EJ)" dataDxfId="50"/>
    <tableColumn id="9" xr3:uid="{26FC0B2A-8AF2-4D3A-8A2C-9D950657944E}" name="Others(EJ)" dataDxfId="49"/>
    <tableColumn id="10" xr3:uid="{BA87F4EF-ABA3-4717-9800-D3BC796178CE}" name="Total energy(EJ)" dataDxfId="48">
      <calculatedColumnFormula>SUM(Table2[[#This Row],[Solar(EJ)]:[Others(EJ)]])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BF37C2B-7CD6-4F9B-A386-EC8EA7278B90}" name="Table12" displayName="Table12" ref="B13:E17" totalsRowShown="0" headerRowDxfId="47" dataDxfId="46" dataCellStyle="Percent">
  <autoFilter ref="B13:E17" xr:uid="{0BF37C2B-7CD6-4F9B-A386-EC8EA7278B90}">
    <filterColumn colId="0" hiddenButton="1"/>
    <filterColumn colId="1" hiddenButton="1"/>
    <filterColumn colId="2" hiddenButton="1"/>
    <filterColumn colId="3" hiddenButton="1"/>
  </autoFilter>
  <tableColumns count="4">
    <tableColumn id="1" xr3:uid="{AC64D4EE-BD02-4792-B6B1-C7991F3942E9}" name="Sources" dataDxfId="45"/>
    <tableColumn id="2" xr3:uid="{1150DDE3-47C8-4C16-8B7B-490BBE4B81ED}" name="Share % 2020" dataDxfId="44" dataCellStyle="Percent"/>
    <tableColumn id="3" xr3:uid="{72E94AA4-3B58-4367-8B42-3D3AF68BE0B8}" name="Share % (2050)" dataDxfId="43" dataCellStyle="Percent"/>
    <tableColumn id="4" xr3:uid="{5D302F4B-42B6-45CE-877C-262C08D09408}" name="CAGR % (2020-2050)" dataDxfId="4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5D1E6A8-D061-448F-85F2-19B2F07971F5}" name="Table13" displayName="Table13" ref="B4:K9" headerRowDxfId="41" dataDxfId="40" tableBorderDxfId="39">
  <autoFilter ref="B4:K9" xr:uid="{45D1E6A8-D061-448F-85F2-19B2F07971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6D240FD-F938-404E-98A8-90A723A47A17}" name="Years" totalsRowLabel="Total" dataDxfId="38" totalsRowDxfId="37"/>
    <tableColumn id="2" xr3:uid="{BF10C119-51B2-44DF-ACBF-946CB8E373C9}" name="Renewables " dataDxfId="36" totalsRowDxfId="35"/>
    <tableColumn id="3" xr3:uid="{80066AA6-FA37-446D-946D-3C7F36C25AA2}" name="Nuclear" dataDxfId="34" totalsRowDxfId="33"/>
    <tableColumn id="4" xr3:uid="{4ACF79F3-FFEB-4766-AE07-A7DF5640537D}" name="Hydrogen-based" dataDxfId="32" totalsRowDxfId="31"/>
    <tableColumn id="5" xr3:uid="{9855C2F6-D206-4E30-864B-1DB51405A830}" name="Fossil fuels with CCUS" dataDxfId="30" totalsRowDxfId="29"/>
    <tableColumn id="6" xr3:uid="{0D6F27E0-3D2F-4B19-B6E0-43A73AAD5ACC}" name="Coal" dataDxfId="28" totalsRowDxfId="27"/>
    <tableColumn id="7" xr3:uid="{F42754F3-1EDC-497F-8323-CC6589540346}" name="Nautural gas" dataDxfId="26" totalsRowDxfId="25"/>
    <tableColumn id="8" xr3:uid="{7E08435E-4F4E-414C-84C4-1DE85F3312E7}" name="Oil" dataDxfId="24" totalsRowDxfId="23"/>
    <tableColumn id="11" xr3:uid="{336B97EF-BACE-447D-B032-2818DE1AD146}" name="Others" dataDxfId="22" totalsRowDxfId="21">
      <calculatedColumnFormula>Table13[[#This Row],[Total Generation ]]-(Table13[[#This Row],[Renewables ]]+Table13[[#This Row],[Nuclear]]+Table13[[#This Row],[Hydrogen-based]]+Table13[[#This Row],[Fossil fuels with CCUS]]+Table13[[#This Row],[Coal]]+Table13[[#This Row],[Nautural gas]]+Table13[[#This Row],[Oil]])</calculatedColumnFormula>
    </tableColumn>
    <tableColumn id="9" xr3:uid="{5892E94A-9097-4A74-B172-61E18EED6AAC}" name="Total Generation " totalsRowFunction="count" dataDxfId="20" totalsRowDxfId="19"/>
  </tableColumns>
  <tableStyleInfo name="TableStyleMedium2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DCEE1D-C337-4F49-8B18-251265F14C18}" name="Table14" displayName="Table14" ref="B13:E17" totalsRowShown="0" headerRowDxfId="18" dataDxfId="17" dataCellStyle="Percent">
  <autoFilter ref="B13:E17" xr:uid="{CBDCEE1D-C337-4F49-8B18-251265F14C18}">
    <filterColumn colId="0" hiddenButton="1"/>
    <filterColumn colId="1" hiddenButton="1"/>
    <filterColumn colId="2" hiddenButton="1"/>
    <filterColumn colId="3" hiddenButton="1"/>
  </autoFilter>
  <tableColumns count="4">
    <tableColumn id="1" xr3:uid="{D0A6884D-BD7E-40E3-B38A-412A6387BD9F}" name="Sources" dataDxfId="16"/>
    <tableColumn id="2" xr3:uid="{13F992D9-C5B5-43EB-9E91-EC06595B2A20}" name="Share % (2020)" dataDxfId="15" dataCellStyle="Percent"/>
    <tableColumn id="3" xr3:uid="{38ED39C8-C835-46D2-9BF8-73D112B13398}" name="Share %(2050)" dataDxfId="14" dataCellStyle="Percent"/>
    <tableColumn id="4" xr3:uid="{4B6DF87B-147A-445D-929D-ECCF3393525A}" name="CAGR %(2020-2050)" dataDxfId="13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ED03B73-3B67-4EC9-BB5B-CC4C571427A9}" name="Table15" displayName="Table15" ref="C7:H12" totalsRowShown="0" headerRowDxfId="12" dataDxfId="11">
  <autoFilter ref="C7:H12" xr:uid="{AED03B73-3B67-4EC9-BB5B-CC4C571427A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713E8AB-7B83-4CDB-9922-32B7EEE50C94}" name="Year" dataDxfId="10"/>
    <tableColumn id="2" xr3:uid="{27598600-C5E5-490B-8963-8EBA11DAF32B}" name="Total Final Consumption (EJ)" dataDxfId="9"/>
    <tableColumn id="3" xr3:uid="{4729E8D4-E2BF-4B6B-8180-C46A7C4628FE}" name="Population (million)" dataDxfId="8"/>
    <tableColumn id="4" xr3:uid="{8441DF25-CDC6-4064-BE3B-DB4E79AF91CA}" name="GDP (trillion USD)" dataDxfId="7"/>
    <tableColumn id="5" xr3:uid="{88C0932C-BB97-4631-BB47-EF08728DD1DF}" name="Energy per Capita (GJ/person)" dataDxfId="6">
      <calculatedColumnFormula>(Table15[[#This Row],[Total Final Consumption (EJ)]]/Table15[[#This Row],[Population (million)]])*1000</calculatedColumnFormula>
    </tableColumn>
    <tableColumn id="6" xr3:uid="{2F7ABF37-7768-4864-B34B-EBBF5C14DDA3}" name="Energy per GDP (GJ/trillion USD)" dataDxfId="5">
      <calculatedColumnFormula>(Table15[[#This Row],[Total Final Consumption (EJ)]]/Table15[[#This Row],[GDP (trillion USD)]])*1000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22F5-69E4-4EDE-872F-2D975BA6DCC3}">
  <dimension ref="B3:F37"/>
  <sheetViews>
    <sheetView tabSelected="1" topLeftCell="C4" zoomScale="72" workbookViewId="0">
      <selection activeCell="F4" sqref="F4:F8"/>
    </sheetView>
  </sheetViews>
  <sheetFormatPr defaultRowHeight="14.5"/>
  <cols>
    <col min="3" max="3" width="20.7265625" bestFit="1" customWidth="1"/>
    <col min="4" max="4" width="22" customWidth="1"/>
    <col min="5" max="5" width="32.54296875" customWidth="1"/>
    <col min="6" max="6" width="57.54296875" customWidth="1"/>
    <col min="10" max="10" width="61.453125" bestFit="1" customWidth="1"/>
  </cols>
  <sheetData>
    <row r="3" spans="2:6" ht="17.5" customHeight="1">
      <c r="B3" s="7" t="s">
        <v>1</v>
      </c>
      <c r="C3" s="7" t="s">
        <v>3</v>
      </c>
      <c r="D3" s="7" t="s">
        <v>0</v>
      </c>
      <c r="E3" s="6" t="s">
        <v>2</v>
      </c>
      <c r="F3" s="7" t="s">
        <v>4</v>
      </c>
    </row>
    <row r="4" spans="2:6">
      <c r="B4" s="1">
        <v>2019</v>
      </c>
      <c r="C4" s="1">
        <v>35926</v>
      </c>
      <c r="D4" s="1">
        <v>7672</v>
      </c>
      <c r="E4" s="2">
        <f>(C4/D4)*1000</f>
        <v>4682.7424400417103</v>
      </c>
      <c r="F4" s="3">
        <f>AVERAGE(F5:F8)</f>
        <v>-0.14793096574143563</v>
      </c>
    </row>
    <row r="5" spans="2:6">
      <c r="B5" s="1">
        <v>2020</v>
      </c>
      <c r="C5" s="1">
        <v>33903</v>
      </c>
      <c r="D5" s="1">
        <v>7753</v>
      </c>
      <c r="E5" s="2">
        <f>(C5/D5)*1000</f>
        <v>4372.8879143557333</v>
      </c>
      <c r="F5" s="3">
        <f xml:space="preserve"> (C5 / C4)^(1 / 1) - 1</f>
        <v>-5.6310193174859413E-2</v>
      </c>
    </row>
    <row r="6" spans="2:6">
      <c r="B6" s="1">
        <v>2030</v>
      </c>
      <c r="C6" s="1">
        <v>21147</v>
      </c>
      <c r="D6" s="1">
        <v>8505</v>
      </c>
      <c r="E6" s="2">
        <f>(C6/D6)*1000</f>
        <v>2486.4197530864194</v>
      </c>
      <c r="F6" s="3">
        <f xml:space="preserve"> (C6 / C5)^(1 / 10) - 1</f>
        <v>-4.6103921119658886E-2</v>
      </c>
    </row>
    <row r="7" spans="2:6">
      <c r="B7" s="1">
        <v>2040</v>
      </c>
      <c r="C7" s="1">
        <v>6316</v>
      </c>
      <c r="D7" s="1">
        <v>9155</v>
      </c>
      <c r="E7" s="2">
        <f>(C7/D7)*1000</f>
        <v>689.89623156744949</v>
      </c>
      <c r="F7" s="4">
        <f xml:space="preserve"> (C7 / C6)^(1 / 10) - 1</f>
        <v>-0.1138253230600984</v>
      </c>
    </row>
    <row r="8" spans="2:6">
      <c r="B8" s="1">
        <v>2050</v>
      </c>
      <c r="C8" s="1">
        <v>57</v>
      </c>
      <c r="D8" s="1">
        <v>9692</v>
      </c>
      <c r="E8" s="2">
        <f>(C8/D8)*1000</f>
        <v>5.8811390837804369</v>
      </c>
      <c r="F8" s="4">
        <f xml:space="preserve"> (C8 / C7)^(1 / 10) - 1</f>
        <v>-0.37548442561112583</v>
      </c>
    </row>
    <row r="9" spans="2:6">
      <c r="B9" s="1"/>
      <c r="C9" s="1"/>
      <c r="D9" s="1"/>
      <c r="E9" s="2"/>
      <c r="F9" s="4"/>
    </row>
    <row r="10" spans="2:6">
      <c r="B10" s="1"/>
      <c r="C10" s="1"/>
      <c r="D10" s="1"/>
      <c r="E10" s="2"/>
      <c r="F10" s="5"/>
    </row>
    <row r="12" spans="2:6">
      <c r="F12" s="9"/>
    </row>
    <row r="13" spans="2:6" ht="18.5">
      <c r="F13" s="12"/>
    </row>
    <row r="15" spans="2:6" ht="18.5">
      <c r="F15" s="12"/>
    </row>
    <row r="16" spans="2:6" ht="25">
      <c r="C16" s="8"/>
      <c r="F16" s="10"/>
    </row>
    <row r="28" spans="4:6" ht="25">
      <c r="F28" s="13"/>
    </row>
    <row r="29" spans="4:6" ht="25">
      <c r="F29" s="13"/>
    </row>
    <row r="30" spans="4:6">
      <c r="D30" s="9"/>
      <c r="F30" s="14" t="s">
        <v>5</v>
      </c>
    </row>
    <row r="31" spans="4:6" ht="29.5">
      <c r="F31" s="15" t="s">
        <v>9</v>
      </c>
    </row>
    <row r="32" spans="4:6" ht="16">
      <c r="D32" s="11"/>
    </row>
    <row r="33" spans="5:6">
      <c r="E33" s="16" t="s">
        <v>9</v>
      </c>
      <c r="F33" t="s">
        <v>6</v>
      </c>
    </row>
    <row r="35" spans="5:6">
      <c r="F35" t="s">
        <v>7</v>
      </c>
    </row>
    <row r="37" spans="5:6">
      <c r="F37" t="s">
        <v>8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column" displayEmptyCellsAs="gap" xr2:uid="{DEDECAD9-A240-4A8A-A075-CA325117A0D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'C02 Pathways'!G4:G8</xm:f>
              <xm:sqref>K12</xm:sqref>
            </x14:sparkline>
            <x14:sparkline>
              <xm:f>'C02 Pathways'!H4:H8</xm:f>
              <xm:sqref>L12</xm:sqref>
            </x14:sparkline>
            <x14:sparkline>
              <xm:sqref>M12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ABA3-3D95-45EA-A63B-49F2405779D2}">
  <dimension ref="B2:K39"/>
  <sheetViews>
    <sheetView zoomScale="74" workbookViewId="0">
      <selection activeCell="B3" sqref="B3:B8"/>
    </sheetView>
  </sheetViews>
  <sheetFormatPr defaultRowHeight="14.5"/>
  <cols>
    <col min="2" max="2" width="10.90625" bestFit="1" customWidth="1"/>
    <col min="3" max="3" width="13.453125" bestFit="1" customWidth="1"/>
    <col min="4" max="4" width="20.08984375" bestFit="1" customWidth="1"/>
    <col min="5" max="5" width="20.1796875" bestFit="1" customWidth="1"/>
    <col min="6" max="6" width="14.54296875" customWidth="1"/>
    <col min="7" max="7" width="15.1796875" customWidth="1"/>
    <col min="9" max="9" width="11.08984375" customWidth="1"/>
    <col min="10" max="10" width="11.90625" customWidth="1"/>
    <col min="11" max="11" width="16.1796875" bestFit="1" customWidth="1"/>
  </cols>
  <sheetData>
    <row r="2" spans="2:11" ht="15.5">
      <c r="C2" s="41" t="s">
        <v>28</v>
      </c>
      <c r="D2" s="41"/>
      <c r="E2" s="41"/>
    </row>
    <row r="3" spans="2:11">
      <c r="B3" s="20" t="s">
        <v>10</v>
      </c>
      <c r="C3" s="20" t="s">
        <v>20</v>
      </c>
      <c r="D3" s="20" t="s">
        <v>21</v>
      </c>
      <c r="E3" s="20" t="s">
        <v>22</v>
      </c>
      <c r="F3" s="20" t="s">
        <v>23</v>
      </c>
      <c r="G3" s="20" t="s">
        <v>24</v>
      </c>
      <c r="H3" s="20" t="s">
        <v>25</v>
      </c>
      <c r="I3" s="20" t="s">
        <v>26</v>
      </c>
      <c r="J3" s="20" t="s">
        <v>27</v>
      </c>
      <c r="K3" s="20" t="s">
        <v>19</v>
      </c>
    </row>
    <row r="4" spans="2:11">
      <c r="B4" s="18">
        <v>2019</v>
      </c>
      <c r="C4" s="19">
        <v>4</v>
      </c>
      <c r="D4" s="19">
        <v>5</v>
      </c>
      <c r="E4" s="19">
        <v>15</v>
      </c>
      <c r="F4" s="19">
        <v>30</v>
      </c>
      <c r="G4" s="19">
        <v>139</v>
      </c>
      <c r="H4" s="18">
        <v>190</v>
      </c>
      <c r="I4" s="18">
        <v>145</v>
      </c>
      <c r="J4" s="18">
        <v>34</v>
      </c>
      <c r="K4" s="18">
        <f>SUM(Table2[[#This Row],[Solar(EJ)]:[Others(EJ)]])</f>
        <v>562</v>
      </c>
    </row>
    <row r="5" spans="2:11">
      <c r="B5" s="18">
        <v>2020</v>
      </c>
      <c r="C5" s="19">
        <v>5</v>
      </c>
      <c r="D5" s="19">
        <v>6</v>
      </c>
      <c r="E5" s="19">
        <v>16</v>
      </c>
      <c r="F5" s="19">
        <v>29</v>
      </c>
      <c r="G5" s="19">
        <v>136</v>
      </c>
      <c r="H5" s="18">
        <v>173</v>
      </c>
      <c r="I5" s="18">
        <v>123</v>
      </c>
      <c r="J5" s="18">
        <v>45</v>
      </c>
      <c r="K5" s="18">
        <f>SUM(Table2[[#This Row],[Solar(EJ)]:[Others(EJ)]])</f>
        <v>533</v>
      </c>
    </row>
    <row r="6" spans="2:11">
      <c r="B6" s="18">
        <v>2030</v>
      </c>
      <c r="C6" s="19">
        <v>32</v>
      </c>
      <c r="D6" s="19">
        <v>29</v>
      </c>
      <c r="E6" s="19">
        <v>21</v>
      </c>
      <c r="F6" s="19">
        <v>41</v>
      </c>
      <c r="G6" s="19">
        <v>116</v>
      </c>
      <c r="H6" s="18">
        <v>137</v>
      </c>
      <c r="I6" s="18">
        <v>130</v>
      </c>
      <c r="J6" s="18">
        <v>90</v>
      </c>
      <c r="K6" s="18">
        <f>SUM(Table2[[#This Row],[Solar(EJ)]:[Others(EJ)]])</f>
        <v>596</v>
      </c>
    </row>
    <row r="7" spans="2:11">
      <c r="B7" s="18">
        <v>2040</v>
      </c>
      <c r="C7" s="18">
        <v>78</v>
      </c>
      <c r="D7" s="18">
        <v>67</v>
      </c>
      <c r="E7" s="18">
        <v>27</v>
      </c>
      <c r="F7" s="18">
        <v>54</v>
      </c>
      <c r="G7" s="18">
        <v>104</v>
      </c>
      <c r="H7" s="18">
        <v>79</v>
      </c>
      <c r="I7" s="18">
        <v>57</v>
      </c>
      <c r="J7" s="18">
        <v>45</v>
      </c>
      <c r="K7" s="18">
        <f>SUM(Table2[[#This Row],[Solar(EJ)]:[Others(EJ)]])</f>
        <v>511</v>
      </c>
    </row>
    <row r="8" spans="2:11">
      <c r="B8" s="18">
        <v>2050</v>
      </c>
      <c r="C8" s="18">
        <v>109</v>
      </c>
      <c r="D8" s="18">
        <v>89</v>
      </c>
      <c r="E8" s="18">
        <v>30</v>
      </c>
      <c r="F8" s="18">
        <v>61</v>
      </c>
      <c r="G8" s="18">
        <v>97</v>
      </c>
      <c r="H8" s="18">
        <v>42</v>
      </c>
      <c r="I8" s="18">
        <v>73</v>
      </c>
      <c r="J8" s="18">
        <v>23</v>
      </c>
      <c r="K8" s="18">
        <f>SUM(Table2[[#This Row],[Solar(EJ)]:[Others(EJ)]])</f>
        <v>524</v>
      </c>
    </row>
    <row r="13" spans="2:11">
      <c r="B13" s="20" t="s">
        <v>16</v>
      </c>
      <c r="C13" s="20" t="s">
        <v>31</v>
      </c>
      <c r="D13" s="20" t="s">
        <v>30</v>
      </c>
      <c r="E13" s="20" t="s">
        <v>32</v>
      </c>
    </row>
    <row r="14" spans="2:11">
      <c r="B14" s="18" t="s">
        <v>13</v>
      </c>
      <c r="C14" s="23">
        <f>H5/K5</f>
        <v>0.32457786116322701</v>
      </c>
      <c r="D14" s="23">
        <f>H8/K8</f>
        <v>8.0152671755725186E-2</v>
      </c>
      <c r="E14" s="23">
        <f>((8/32)^(1/30)-1)</f>
        <v>-4.5158396089583497E-2</v>
      </c>
    </row>
    <row r="15" spans="2:11">
      <c r="B15" s="18" t="s">
        <v>29</v>
      </c>
      <c r="C15" s="23">
        <f>G5/K5</f>
        <v>0.25515947467166977</v>
      </c>
      <c r="D15" s="23">
        <f>G8/K8</f>
        <v>0.1851145038167939</v>
      </c>
      <c r="E15" s="23">
        <f>((18/25)^(1/30)-1)</f>
        <v>-1.0890401063724964E-2</v>
      </c>
    </row>
    <row r="16" spans="2:11">
      <c r="B16" s="18" t="s">
        <v>15</v>
      </c>
      <c r="C16" s="23">
        <f>I5/K5</f>
        <v>0.23076923076923078</v>
      </c>
      <c r="D16" s="23">
        <f>I8/K8</f>
        <v>0.13931297709923665</v>
      </c>
      <c r="E16" s="23">
        <f>((13/23)^(1/30)-1)</f>
        <v>-1.8838457724829616E-2</v>
      </c>
    </row>
    <row r="17" spans="2:5">
      <c r="B17" s="18" t="s">
        <v>18</v>
      </c>
      <c r="C17" s="23">
        <f>(C5+D5+E5+F5)/K5</f>
        <v>0.1050656660412758</v>
      </c>
      <c r="D17" s="23">
        <f>(C8+D8+E8+F8)/K8</f>
        <v>0.55152671755725191</v>
      </c>
      <c r="E17" s="23">
        <f>((56/10)^(1/30)-1)</f>
        <v>5.9106420697294215E-2</v>
      </c>
    </row>
    <row r="18" spans="2:5">
      <c r="B18" s="18"/>
      <c r="C18" s="23"/>
      <c r="D18" s="23"/>
      <c r="E18" s="18"/>
    </row>
    <row r="19" spans="2:5">
      <c r="B19" s="18"/>
      <c r="C19" s="23"/>
      <c r="D19" s="23"/>
      <c r="E19" s="18"/>
    </row>
    <row r="22" spans="2:5">
      <c r="D22" s="27">
        <f>(C8+D8+E8+F8)/(G8+H8+I8+J8)</f>
        <v>1.2297872340425533</v>
      </c>
      <c r="E22" s="28">
        <f>D22</f>
        <v>1.2297872340425533</v>
      </c>
    </row>
    <row r="23" spans="2:5">
      <c r="D23" s="24">
        <f>((G8+H8+I8)-(G5+H4+I5))/(G5+H5+I5)</f>
        <v>-0.54861111111111116</v>
      </c>
    </row>
    <row r="34" spans="3:4" ht="15.5">
      <c r="D34" s="22" t="s">
        <v>33</v>
      </c>
    </row>
    <row r="39" spans="3:4">
      <c r="C39" s="26"/>
    </row>
  </sheetData>
  <mergeCells count="1">
    <mergeCell ref="C2:E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7256-9252-4413-AB7E-4CD3447AD087}">
  <dimension ref="B2:K34"/>
  <sheetViews>
    <sheetView topLeftCell="A5" zoomScale="61" workbookViewId="0">
      <selection activeCell="G32" sqref="G32"/>
    </sheetView>
  </sheetViews>
  <sheetFormatPr defaultRowHeight="14.5"/>
  <cols>
    <col min="2" max="2" width="10.54296875" bestFit="1" customWidth="1"/>
    <col min="3" max="3" width="15.1796875" customWidth="1"/>
    <col min="4" max="4" width="27.26953125" bestFit="1" customWidth="1"/>
    <col min="5" max="5" width="19.453125" customWidth="1"/>
    <col min="6" max="6" width="21.54296875" customWidth="1"/>
    <col min="7" max="7" width="10.90625" customWidth="1"/>
    <col min="8" max="8" width="13.26953125" customWidth="1"/>
    <col min="10" max="10" width="21.36328125" bestFit="1" customWidth="1"/>
    <col min="11" max="11" width="15.6328125" bestFit="1" customWidth="1"/>
    <col min="12" max="15" width="5.81640625" bestFit="1" customWidth="1"/>
    <col min="16" max="16" width="10.36328125" bestFit="1" customWidth="1"/>
    <col min="17" max="19" width="15.6328125" bestFit="1" customWidth="1"/>
    <col min="20" max="20" width="15.36328125" bestFit="1" customWidth="1"/>
    <col min="21" max="21" width="13.90625" bestFit="1" customWidth="1"/>
  </cols>
  <sheetData>
    <row r="2" spans="2:11">
      <c r="D2" s="32" t="s">
        <v>38</v>
      </c>
    </row>
    <row r="4" spans="2:11">
      <c r="B4" s="29" t="s">
        <v>10</v>
      </c>
      <c r="C4" s="17" t="s">
        <v>18</v>
      </c>
      <c r="D4" s="17" t="s">
        <v>12</v>
      </c>
      <c r="E4" s="17" t="s">
        <v>34</v>
      </c>
      <c r="F4" s="17" t="s">
        <v>35</v>
      </c>
      <c r="G4" s="17" t="s">
        <v>15</v>
      </c>
      <c r="H4" s="17" t="s">
        <v>36</v>
      </c>
      <c r="I4" s="17" t="s">
        <v>13</v>
      </c>
      <c r="J4" s="17" t="s">
        <v>14</v>
      </c>
      <c r="K4" s="17" t="s">
        <v>37</v>
      </c>
    </row>
    <row r="5" spans="2:11">
      <c r="B5" s="30">
        <v>2019</v>
      </c>
      <c r="C5" s="17">
        <v>7153</v>
      </c>
      <c r="D5" s="17">
        <v>2792</v>
      </c>
      <c r="E5" s="17">
        <v>0</v>
      </c>
      <c r="F5" s="17">
        <v>1</v>
      </c>
      <c r="G5" s="17">
        <v>9832</v>
      </c>
      <c r="H5" s="17">
        <v>6314</v>
      </c>
      <c r="I5" s="17">
        <v>795</v>
      </c>
      <c r="J5" s="17">
        <f>Table13[[#This Row],[Total Generation ]]-(Table13[[#This Row],[Renewables ]]+Table13[[#This Row],[Nuclear]]+Table13[[#This Row],[Hydrogen-based]]+Table13[[#This Row],[Fossil fuels with CCUS]]+Table13[[#This Row],[Coal]]+Table13[[#This Row],[Nautural gas]]+Table13[[#This Row],[Oil]])</f>
        <v>35</v>
      </c>
      <c r="K5" s="17">
        <v>26922</v>
      </c>
    </row>
    <row r="6" spans="2:11">
      <c r="B6" s="31">
        <v>2020</v>
      </c>
      <c r="C6" s="17">
        <v>7660</v>
      </c>
      <c r="D6" s="17">
        <v>2698</v>
      </c>
      <c r="E6" s="17">
        <v>0</v>
      </c>
      <c r="F6" s="17">
        <v>4</v>
      </c>
      <c r="G6" s="17">
        <v>9426</v>
      </c>
      <c r="H6" s="17">
        <v>6200</v>
      </c>
      <c r="I6" s="17">
        <v>756</v>
      </c>
      <c r="J6" s="17">
        <f>Table13[[#This Row],[Total Generation ]]-(Table13[[#This Row],[Renewables ]]+Table13[[#This Row],[Nuclear]]+Table13[[#This Row],[Hydrogen-based]]+Table13[[#This Row],[Fossil fuels with CCUS]]+Table13[[#This Row],[Coal]]+Table13[[#This Row],[Nautural gas]]+Table13[[#This Row],[Oil]])</f>
        <v>34</v>
      </c>
      <c r="K6" s="17">
        <v>26778</v>
      </c>
    </row>
    <row r="7" spans="2:11">
      <c r="B7" s="30">
        <v>2030</v>
      </c>
      <c r="C7" s="17">
        <v>22817</v>
      </c>
      <c r="D7" s="17">
        <v>3777</v>
      </c>
      <c r="E7" s="17">
        <v>875</v>
      </c>
      <c r="F7" s="17">
        <v>459</v>
      </c>
      <c r="G7" s="17">
        <v>2947</v>
      </c>
      <c r="H7" s="17">
        <v>6222</v>
      </c>
      <c r="I7" s="17">
        <v>189</v>
      </c>
      <c r="J7" s="17">
        <f>Table13[[#This Row],[Total Generation ]]-(Table13[[#This Row],[Renewables ]]+Table13[[#This Row],[Nuclear]]+Table13[[#This Row],[Hydrogen-based]]+Table13[[#This Row],[Fossil fuels with CCUS]]+Table13[[#This Row],[Coal]]+Table13[[#This Row],[Nautural gas]]+Table13[[#This Row],[Oil]])</f>
        <v>30</v>
      </c>
      <c r="K7" s="17">
        <v>37316</v>
      </c>
    </row>
    <row r="8" spans="2:11">
      <c r="B8" s="31">
        <v>2040</v>
      </c>
      <c r="C8" s="17">
        <v>47521</v>
      </c>
      <c r="D8" s="17">
        <v>4855</v>
      </c>
      <c r="E8" s="17">
        <v>1857</v>
      </c>
      <c r="F8" s="17">
        <v>1659</v>
      </c>
      <c r="G8" s="17">
        <v>6</v>
      </c>
      <c r="H8" s="17">
        <v>626</v>
      </c>
      <c r="I8" s="17">
        <v>6</v>
      </c>
      <c r="J8" s="17">
        <f>Table13[[#This Row],[Total Generation ]]-(Table13[[#This Row],[Renewables ]]+Table13[[#This Row],[Nuclear]]+Table13[[#This Row],[Hydrogen-based]]+Table13[[#This Row],[Fossil fuels with CCUS]]+Table13[[#This Row],[Coal]]+Table13[[#This Row],[Nautural gas]]+Table13[[#This Row],[Oil]])</f>
        <v>23</v>
      </c>
      <c r="K8" s="17">
        <v>56553</v>
      </c>
    </row>
    <row r="9" spans="2:11">
      <c r="B9" s="30">
        <v>2050</v>
      </c>
      <c r="C9" s="17">
        <v>62333</v>
      </c>
      <c r="D9" s="17">
        <v>5497</v>
      </c>
      <c r="E9" s="17">
        <v>1713</v>
      </c>
      <c r="F9" s="17">
        <v>1332</v>
      </c>
      <c r="G9" s="17">
        <v>12</v>
      </c>
      <c r="H9" s="17">
        <v>253</v>
      </c>
      <c r="I9" s="17">
        <v>6</v>
      </c>
      <c r="J9" s="17">
        <f>Table13[[#This Row],[Total Generation ]]-(Table13[[#This Row],[Renewables ]]+Table13[[#This Row],[Nuclear]]+Table13[[#This Row],[Hydrogen-based]]+Table13[[#This Row],[Fossil fuels with CCUS]]+Table13[[#This Row],[Coal]]+Table13[[#This Row],[Nautural gas]]+Table13[[#This Row],[Oil]])</f>
        <v>18</v>
      </c>
      <c r="K9" s="17">
        <v>71164</v>
      </c>
    </row>
    <row r="12" spans="2:11">
      <c r="K12" s="37"/>
    </row>
    <row r="13" spans="2:11">
      <c r="B13" s="21" t="s">
        <v>16</v>
      </c>
      <c r="C13" s="21" t="s">
        <v>39</v>
      </c>
      <c r="D13" s="21" t="s">
        <v>40</v>
      </c>
      <c r="E13" s="21" t="s">
        <v>41</v>
      </c>
    </row>
    <row r="14" spans="2:11">
      <c r="B14" s="21" t="s">
        <v>13</v>
      </c>
      <c r="C14" s="25">
        <f>I6/K6</f>
        <v>2.8232130853685863E-2</v>
      </c>
      <c r="D14" s="33">
        <f>I9/K9</f>
        <v>8.4312292732280366E-5</v>
      </c>
      <c r="E14" s="25">
        <f>((0.008/2.82)^(1/30)-1)</f>
        <v>-0.17757804419871392</v>
      </c>
    </row>
    <row r="15" spans="2:11">
      <c r="B15" s="21" t="s">
        <v>17</v>
      </c>
      <c r="C15" s="25">
        <f>H6/K6</f>
        <v>0.23153334827096869</v>
      </c>
      <c r="D15" s="25">
        <f>H9/K9</f>
        <v>3.5551683435444889E-3</v>
      </c>
      <c r="E15" s="25">
        <f>((0.36/23.15)^(1/30)-1)</f>
        <v>-0.1295876385393071</v>
      </c>
    </row>
    <row r="16" spans="2:11">
      <c r="B16" s="21" t="s">
        <v>15</v>
      </c>
      <c r="C16" s="25">
        <f>G6/K6</f>
        <v>0.35200537754873401</v>
      </c>
      <c r="D16" s="25">
        <f>G9/K9</f>
        <v>1.6862458546456073E-4</v>
      </c>
      <c r="E16" s="34">
        <f>((0.02/35.2)^(1/30)-1)</f>
        <v>-0.22049977585482128</v>
      </c>
    </row>
    <row r="17" spans="2:5">
      <c r="B17" s="21" t="s">
        <v>11</v>
      </c>
      <c r="C17" s="25">
        <f>C6/K6</f>
        <v>0.28605571737993873</v>
      </c>
      <c r="D17" s="25">
        <f>C9/K9</f>
        <v>0.87590635714687204</v>
      </c>
      <c r="E17" s="25">
        <f>((87.59/28.61)^(1/30)-1)</f>
        <v>3.800127974414047E-2</v>
      </c>
    </row>
    <row r="23" spans="2:5" ht="15.5">
      <c r="C23" s="36" t="s">
        <v>46</v>
      </c>
    </row>
    <row r="34" spans="4:4">
      <c r="D34" t="s">
        <v>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35439-1CB6-432B-A188-F1C8F157942A}">
  <dimension ref="C7:H35"/>
  <sheetViews>
    <sheetView zoomScale="36" zoomScaleNormal="350" workbookViewId="0">
      <selection activeCell="R43" sqref="R43"/>
    </sheetView>
  </sheetViews>
  <sheetFormatPr defaultRowHeight="14.5"/>
  <cols>
    <col min="4" max="4" width="29.7265625" customWidth="1"/>
    <col min="5" max="5" width="19.26953125" bestFit="1" customWidth="1"/>
    <col min="6" max="6" width="17.54296875" bestFit="1" customWidth="1"/>
    <col min="7" max="7" width="23.7265625" customWidth="1"/>
    <col min="8" max="8" width="32.6328125" bestFit="1" customWidth="1"/>
    <col min="9" max="9" width="9.36328125" customWidth="1"/>
    <col min="10" max="10" width="4.36328125" bestFit="1" customWidth="1"/>
    <col min="11" max="11" width="4.36328125" customWidth="1"/>
    <col min="12" max="12" width="10.54296875" bestFit="1" customWidth="1"/>
  </cols>
  <sheetData>
    <row r="7" spans="3:8">
      <c r="C7" s="18" t="s">
        <v>1</v>
      </c>
      <c r="D7" s="18" t="s">
        <v>42</v>
      </c>
      <c r="E7" s="18" t="s">
        <v>0</v>
      </c>
      <c r="F7" s="18" t="s">
        <v>43</v>
      </c>
      <c r="G7" s="18" t="s">
        <v>44</v>
      </c>
      <c r="H7" s="18" t="s">
        <v>45</v>
      </c>
    </row>
    <row r="8" spans="3:8">
      <c r="C8" s="18">
        <v>2019</v>
      </c>
      <c r="D8" s="18">
        <v>435</v>
      </c>
      <c r="E8" s="18">
        <v>7672</v>
      </c>
      <c r="F8" s="18">
        <v>134710</v>
      </c>
      <c r="G8" s="35">
        <f>(Table15[[#This Row],[Total Final Consumption (EJ)]]/Table15[[#This Row],[Population (million)]])*1000</f>
        <v>56.699687174139726</v>
      </c>
      <c r="H8" s="35">
        <f>(Table15[[#This Row],[Total Final Consumption (EJ)]]/Table15[[#This Row],[GDP (trillion USD)]])*1000</f>
        <v>3.2291589340063842</v>
      </c>
    </row>
    <row r="9" spans="3:8">
      <c r="C9" s="18">
        <v>2020</v>
      </c>
      <c r="D9" s="18">
        <v>412</v>
      </c>
      <c r="E9" s="18">
        <v>7753</v>
      </c>
      <c r="F9" s="18">
        <v>128276</v>
      </c>
      <c r="G9" s="35">
        <f>(Table15[[#This Row],[Total Final Consumption (EJ)]]/Table15[[#This Row],[Population (million)]])*1000</f>
        <v>53.140719721398163</v>
      </c>
      <c r="H9" s="35">
        <f>(Table15[[#This Row],[Total Final Consumption (EJ)]]/Table15[[#This Row],[GDP (trillion USD)]])*1000</f>
        <v>3.2118245034145128</v>
      </c>
    </row>
    <row r="10" spans="3:8">
      <c r="C10" s="18">
        <v>2030</v>
      </c>
      <c r="D10" s="18">
        <v>394</v>
      </c>
      <c r="E10" s="18">
        <v>8505</v>
      </c>
      <c r="F10" s="18">
        <v>184037</v>
      </c>
      <c r="G10" s="35">
        <f>(Table15[[#This Row],[Total Final Consumption (EJ)]]/Table15[[#This Row],[Population (million)]])*1000</f>
        <v>46.325690770135218</v>
      </c>
      <c r="H10" s="35">
        <f>(Table15[[#This Row],[Total Final Consumption (EJ)]]/Table15[[#This Row],[GDP (trillion USD)]])*1000</f>
        <v>2.140873846020094</v>
      </c>
    </row>
    <row r="11" spans="3:8">
      <c r="C11" s="18">
        <v>2040</v>
      </c>
      <c r="D11" s="18">
        <v>363</v>
      </c>
      <c r="E11" s="18">
        <v>9155</v>
      </c>
      <c r="F11" s="18">
        <v>246960</v>
      </c>
      <c r="G11" s="35">
        <f>(Table15[[#This Row],[Total Final Consumption (EJ)]]/Table15[[#This Row],[Population (million)]])*1000</f>
        <v>39.650464227198249</v>
      </c>
      <c r="H11" s="35">
        <f>(Table15[[#This Row],[Total Final Consumption (EJ)]]/Table15[[#This Row],[GDP (trillion USD)]])*1000</f>
        <v>1.4698736637512149</v>
      </c>
    </row>
    <row r="12" spans="3:8">
      <c r="C12" s="18">
        <v>2050</v>
      </c>
      <c r="D12" s="18">
        <v>344</v>
      </c>
      <c r="E12" s="18">
        <v>9692</v>
      </c>
      <c r="F12" s="18">
        <v>316411</v>
      </c>
      <c r="G12" s="35">
        <f>(Table15[[#This Row],[Total Final Consumption (EJ)]]/Table15[[#This Row],[Population (million)]])*1000</f>
        <v>35.493190260008255</v>
      </c>
      <c r="H12" s="35">
        <f>(Table15[[#This Row],[Total Final Consumption (EJ)]]/Table15[[#This Row],[GDP (trillion USD)]])*1000</f>
        <v>1.087193555217739</v>
      </c>
    </row>
    <row r="20" spans="6:8">
      <c r="F20" s="38" t="s">
        <v>47</v>
      </c>
      <c r="G20" t="s">
        <v>49</v>
      </c>
      <c r="H20" t="s">
        <v>48</v>
      </c>
    </row>
    <row r="21" spans="6:8">
      <c r="F21" s="39">
        <v>2020</v>
      </c>
      <c r="G21">
        <v>128276</v>
      </c>
      <c r="H21">
        <v>412</v>
      </c>
    </row>
    <row r="22" spans="6:8">
      <c r="F22" s="39">
        <v>2050</v>
      </c>
      <c r="G22">
        <v>316411</v>
      </c>
      <c r="H22">
        <v>344</v>
      </c>
    </row>
    <row r="35" spans="8:8">
      <c r="H35" s="40"/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A86CCF-986F-4850-8323-F39EE4EDE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C02 Pathways</vt:lpstr>
      <vt:lpstr>Energy transition analysis</vt:lpstr>
      <vt:lpstr>Electricity Genr Transformation</vt:lpstr>
      <vt:lpstr>Energy Eff &amp;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Zoya Fatma</dc:creator>
  <cp:lastModifiedBy>Zoya Fatma</cp:lastModifiedBy>
  <dcterms:created xsi:type="dcterms:W3CDTF">2025-09-29T08:29:58Z</dcterms:created>
  <dcterms:modified xsi:type="dcterms:W3CDTF">2025-10-12T06:41:18Z</dcterms:modified>
</cp:coreProperties>
</file>